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026"/>
  <workbookPr/>
  <mc:AlternateContent xmlns:mc="http://schemas.openxmlformats.org/markup-compatibility/2006">
    <mc:Choice Requires="x15">
      <x15ac:absPath xmlns:x15ac="http://schemas.microsoft.com/office/spreadsheetml/2010/11/ac" url="https://d.docs.live.net/157c451f06908647/Documents/School Senior/Senior Design/"/>
    </mc:Choice>
  </mc:AlternateContent>
  <xr:revisionPtr revIDLastSave="5" documentId="8_{A3D68643-D395-4D32-93A1-344A3D6BF7E0}" xr6:coauthVersionLast="47" xr6:coauthVersionMax="47" xr10:uidLastSave="{313C72F2-D02C-4AA5-827D-7D2EE3B43904}"/>
  <bookViews>
    <workbookView xWindow="-96" yWindow="-96" windowWidth="20928" windowHeight="12432" xr2:uid="{00000000-000D-0000-FFFF-FFFF00000000}"/>
  </bookViews>
  <sheets>
    <sheet name="Kit Cost" sheetId="3" r:id="rId1"/>
    <sheet name="3D Part Printing Settings" sheetId="6"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18" i="6" l="1"/>
  <c r="J19" i="6"/>
  <c r="J20" i="6"/>
  <c r="J17" i="6"/>
  <c r="F39" i="3"/>
  <c r="F14" i="3"/>
  <c r="F31" i="3"/>
  <c r="F26" i="3" l="1"/>
  <c r="J16" i="6" l="1"/>
  <c r="J15" i="6"/>
  <c r="J14" i="6"/>
  <c r="J13" i="6"/>
  <c r="J12" i="6"/>
  <c r="J11" i="6"/>
  <c r="J10" i="6"/>
  <c r="J9" i="6"/>
  <c r="J8" i="6"/>
  <c r="J7" i="6"/>
  <c r="J6" i="6"/>
  <c r="J5" i="6"/>
  <c r="J4" i="6"/>
  <c r="J3" i="6"/>
  <c r="J21" i="6" s="1"/>
  <c r="F35" i="3" l="1"/>
  <c r="F37" i="3"/>
  <c r="F38" i="3"/>
  <c r="F40" i="3"/>
  <c r="F28" i="3" l="1"/>
  <c r="F13" i="3" l="1"/>
  <c r="F34" i="3" l="1"/>
  <c r="F23" i="3"/>
  <c r="F24" i="3"/>
  <c r="F33" i="3"/>
  <c r="F30" i="3"/>
  <c r="F19" i="3"/>
  <c r="F29" i="3"/>
  <c r="F27" i="3"/>
  <c r="F25" i="3"/>
  <c r="F22" i="3"/>
  <c r="F21" i="3"/>
  <c r="F16" i="3"/>
  <c r="F15" i="3"/>
  <c r="F12" i="3"/>
  <c r="F11" i="3"/>
  <c r="F10" i="3"/>
  <c r="F9" i="3"/>
  <c r="F8" i="3"/>
  <c r="F7" i="3"/>
  <c r="F6" i="3"/>
  <c r="F5" i="3"/>
  <c r="F4" i="3"/>
  <c r="F3" i="3"/>
  <c r="F43" i="3" l="1"/>
</calcChain>
</file>

<file path=xl/sharedStrings.xml><?xml version="1.0" encoding="utf-8"?>
<sst xmlns="http://schemas.openxmlformats.org/spreadsheetml/2006/main" count="308" uniqueCount="185">
  <si>
    <t>Item</t>
  </si>
  <si>
    <t>Vendor</t>
  </si>
  <si>
    <t>Part Number</t>
  </si>
  <si>
    <t>Quantity</t>
  </si>
  <si>
    <t>Price</t>
  </si>
  <si>
    <t>Total</t>
  </si>
  <si>
    <t>Link</t>
  </si>
  <si>
    <t>RoArm-M2-S</t>
  </si>
  <si>
    <t>Amazon</t>
  </si>
  <si>
    <t>https://www.amazon.com/Expansion-Development-High-Torque-XYGStudy-RoArm-M2-S/dp/B0DMVD3TB7</t>
  </si>
  <si>
    <t>T-Slotted Framing Rails 8''</t>
  </si>
  <si>
    <t>McMaster-Carr</t>
  </si>
  <si>
    <t>47065T821</t>
  </si>
  <si>
    <t>https://www.mcmaster.com/47065T821</t>
  </si>
  <si>
    <t>T-Slotted Framing Rails 5''</t>
  </si>
  <si>
    <t>47065T822</t>
  </si>
  <si>
    <t>https://www.mcmaster.com/47065T822</t>
  </si>
  <si>
    <t>T-Slotted Framing</t>
  </si>
  <si>
    <t>47065T139</t>
  </si>
  <si>
    <t>https://www.mcmaster.com/47065T139</t>
  </si>
  <si>
    <t>Black Corner Bracket 1''</t>
  </si>
  <si>
    <t>47065T831</t>
  </si>
  <si>
    <t>https://www.mcmaster.com/47065T831/</t>
  </si>
  <si>
    <t>Zinc-Plated Steel Hex Nut</t>
  </si>
  <si>
    <t>90591A250</t>
  </si>
  <si>
    <t>https://www.mcmaster.com/90591A250/</t>
  </si>
  <si>
    <t>18-8 Stainless Steel Button Head Hex Drive Screws</t>
  </si>
  <si>
    <t>97763A814</t>
  </si>
  <si>
    <t>https://www.mcmaster.com/97763A814/</t>
  </si>
  <si>
    <t>M8x 1.25mm 8mm Lg</t>
  </si>
  <si>
    <t>92095A493</t>
  </si>
  <si>
    <t>https://www.mcmaster.com/92095A493/</t>
  </si>
  <si>
    <t>T Slot Nuts M5</t>
  </si>
  <si>
    <t>B086MKNYDS</t>
  </si>
  <si>
    <t>https://www.amazon.com/Fastener-Nickel-Plated-Sliding-Aluminum-Profile/dp/B086MKNYDS/ref=sr_1_5?crid=2P6RQ24JJNJ2Q&amp;dib=eyJ2IjoiMSJ9.QUhTohFVWOZ04aQYc1hGKBp0VALDfsG2MjthfxUujqwf-tb8VsBjUhgY7ZY_aIy5NRJtkEaacIoUyqHIJ7Z5HG_yx7jyyCUxVKxNoITi6CyOURRs-q5rug35VnWpP4lwAvly9vnXairSpIRoOV0p0IdowdLHRQiMFbzMKtiK7l6znI5v-f6lwMRuUboDWo4fWbPacfJ5rIv2Q4SUrNAdMr7nvMbfoudLHHx3-ExsDms.EyAZujGnsyYknA4zAwwq-Rfbq6NbZZjx4iqJLF4Rn6Q&amp;dib_tag=se&amp;keywords=amazon+t+nuts&amp;qid=1762398126&amp;sprefix=amazon+t+nuts%2Caps%2C137&amp;sr=8-5</t>
  </si>
  <si>
    <t>M5 x 0.8mm 10mm Lg</t>
  </si>
  <si>
    <t>92095A208</t>
  </si>
  <si>
    <t>https://www.mcmaster.com/92095A208/</t>
  </si>
  <si>
    <t>WaveShare End Effector Gripper</t>
  </si>
  <si>
    <t>Gripper-A</t>
  </si>
  <si>
    <t>https://www.amazon.com/waveshare-High-performance-Closed-loop-Real-time-Protection-Adjustable/dp/B0DY14MXG5/ref=sr_1_1?crid=2LXRRVQIWYC5C&amp;dib=eyJ2IjoiMSJ9.XQVk-GysUtu1R7E3jXtr0TPZLMVJQr-77ol-TSKQ6kxB1UFpvxRIPynHoIl5tE53LZDkbVWIdqU7JkGvxUpTm4iQnr3qkIF2HGcmvBRt5p4._p5XxmzUC5L0voDjVDtmH3G1DQ40XeCVjzMCmp_jS_0&amp;dib_tag=se&amp;keywords=waveshare+gripper+A&amp;qid=1762827157&amp;sprefix=waveshare+gripper+a%2Caps%2C160&amp;sr=8-1</t>
  </si>
  <si>
    <t>SD082</t>
  </si>
  <si>
    <t>https://www.amazon.com/SaiDian-4-Axis-Joystick-Potentiometer-JH-D400X-R4/dp/B08CGYGMJL/</t>
  </si>
  <si>
    <t>JLC3DP</t>
  </si>
  <si>
    <t>https://jlc3dp.com/3d-printing-quote</t>
  </si>
  <si>
    <t>Adafruit Feather V2</t>
  </si>
  <si>
    <t>Adafruit</t>
  </si>
  <si>
    <t>https://www.adafruit.com/product/5400?srsltid=AfmBOopq24hnmD2ugi-ushusM7gKSMn7LZiJ3KdvgZsEpq4FaGHvwQWg</t>
  </si>
  <si>
    <t>Adafruit USB FeatherWing</t>
  </si>
  <si>
    <t>https://www.adafruit.com/product/5858?srsltid=AfmBOoow2XLiv4bNjhqtQ0clTIF3nD_nd0G4LXMP7EV8kHCG7qfZMliW</t>
  </si>
  <si>
    <t xml:space="preserve">PCB </t>
  </si>
  <si>
    <t>OSH Park</t>
  </si>
  <si>
    <t>https://www.bestpcbs.com/blog/2025/06/pcb-board-price-how-much-does-a-pcb-board-cost/</t>
  </si>
  <si>
    <t>N/A</t>
  </si>
  <si>
    <t>12 AWG</t>
  </si>
  <si>
    <t>12V30000MAH-66305718</t>
  </si>
  <si>
    <t>https://www.amazon.com/HJGHY-18000mAH-22000mAh-Rechargeable-Speedboat/dp/B0DWXLDXQJ/ref=sr_1_1?dib=eyJ2IjoiMSJ9.gDzmq0Mxhv6Rod-TyiBATw.XB9uZE8932f664zYHutJu2toOF9X0tPlswFqKFI3Yag&amp;dib_tag=se&amp;keywords=12V30000MAH-66305718&amp;qid=1762638457&amp;sr=8-1&amp;th=1</t>
  </si>
  <si>
    <t>Arcade Buttons</t>
  </si>
  <si>
    <t>LYSB01LXZSV2N-CMPTRACCS</t>
  </si>
  <si>
    <t>https://www.amazon.com/EG-STARTS-Illuminated-Joystick-Raspberry/dp/B01LXZSV2N/ref=sr_1_2?crid=3DJ5QYDZQZZEC&amp;dib=eyJ2IjoiMSJ9.fj6L7tSNKth1BFLe-kY605MLNtaJrKYpK714qI6wiD_I5B8F0ma6vIOCZzYO5RzRe7c_6NB572NwxYJt5BtvcqhgKW0xTn7jYEElubO5ZUjZUS0g4QVZKq47HKF68Ko_-pOV997n9Nr6sbUjCZeH_WrxWKdG5ociYSfSpuz90Vlpn-m9jFSjWbeJCneA81uIGHsCet6TZ3lBCWDji5IKgMHvy6ft3s-lipHCibGxyBE.Y-LNVXE5XcNKxPc3AqrueFL5tqEmhM7Dg5Gzlxku5Kk&amp;dib_tag=se&amp;keywords=arcade+light+buttons&amp;qid=1769031553&amp;s=videogames&amp;sprefix=arcade+light+buttons%2Cvideogames%2C99&amp;sr=1-2</t>
  </si>
  <si>
    <t>https://www.amazon.com/Hosyond-320x480-Capacitive-Display-Mega2560/dp/B0CRGQN58D/ref=sr_1_1?crid=33A17FSUQVH1K&amp;dib=eyJ2IjoiMSJ9.md2KqkoJtP99SSw8IL89B_zmJRlq_835Nm7Fn7o62nmdBSn6SxW0FYbSIeCRKOKp4A8J7ySSzezeyvRxJTk60WiqE0D80pzNuezRvvV9MH0wfgOdxxVquKS4Go7H9ZIq8qSL3cR8f_bwaXxrBk6TimpcHRq-sIDSnzoSPz8Q0Ix2u-cp9mr2oFVepVCEUHuENywOn4QcDeircmj-jbLeoCBrmAxe36c5Xs3lcL_61yU.s9oX8vXHI7oMfCmVK_N0IjCQrrICVz7chaW4Gnfo4Eo&amp;dib_tag=se&amp;keywords=screen%2Bled%2Bdisplay%2B4%2Binches%2Barduino&amp;qid=1769030753&amp;sprefix=screen%2Bled%2Bdisplay%2B4%2Binches%2Barduino%2Caps%2C89&amp;sr=8-1&amp;th=1</t>
  </si>
  <si>
    <t>B0DSZ26LLC</t>
  </si>
  <si>
    <t>Cost</t>
  </si>
  <si>
    <t>Part</t>
  </si>
  <si>
    <t xml:space="preserve"> </t>
  </si>
  <si>
    <t>Mechanical Components</t>
  </si>
  <si>
    <t>4-Axis Joystick</t>
  </si>
  <si>
    <t>2-Pack Hose Clamps</t>
  </si>
  <si>
    <t>B0DRHKN6ZK</t>
  </si>
  <si>
    <t>https://www.amazon.com/NITRO4X4-Stainless-Steel-Hose-Clamps/dp/B0DRHKN6ZK/ref=mp_s_a_1_3?crid=IL6Z0SNAT3DN&amp;dib=eyJ2IjoiMSJ9.D8m9G_hPev0Rxd83pR6reFxvZhgLLpsNaE6j4fK6qkI0f383oC0TovivInDB9BmT3bMpCtWA0gcF3xmIkhEhk7l64gQ8xCWNpKQ874aTdbPhPpK5f_uvM-JbeEnhkC9_-sFjo_wuXzTJsKC9EtdhqjKBQa63b-4TA-DHIS11sTQJ-JGjroGZgj_yXYWX9rYebmsKEOpfdblrC8frX9QgGw.zjlg1tfyBoUSGxkOysLL-MBJPkoxdvB_jiYOHppUnd0&amp;dib_tag=se&amp;keywords=1.75%2Binch%2Bhose%2Bclamp&amp;qid=1776174080&amp;s=industrial&amp;sprefix=1.75%2Binch%2Bhose%2Bclamp%2Cindustrial%2C148&amp;sr=1-3&amp;th=1</t>
  </si>
  <si>
    <t>6x12x1/8 Clear Acrylic Sheets</t>
  </si>
  <si>
    <t>8560K275</t>
  </si>
  <si>
    <t>https://www.mcmaster.com/8560K275/</t>
  </si>
  <si>
    <t>3D Print Cost</t>
  </si>
  <si>
    <t>Custom Prints (Rough Estimate w/shipping + Taxes)</t>
  </si>
  <si>
    <t>Electronic Components</t>
  </si>
  <si>
    <t>DC-DC Power Modules (5 Pack)</t>
  </si>
  <si>
    <t>Amazon.com: hiBCTR 5 Pieces of DC-DC Power Modules for Converting from 12V to 3.3V and 5V, with Multiple Output Voltages of 3.3V, 5V and 12V. : Electronics</t>
  </si>
  <si>
    <t>XT60 to DC Adapter (2 Pack)</t>
  </si>
  <si>
    <t>B0DHWTZM83</t>
  </si>
  <si>
    <t>https://www.amazon.com/SinLoon-Adapter-Wireless-Soldering-XT-021/dp/B0DHWTZM83/ref=sr_1_10?crid=2LWFM9OWYH7RY&amp;dib=eyJ2IjoiMSJ9.SHxX2P3dfShOOT2ljGFf1SiOHA6pDDzPoWjq_Mp4AhYSopGvik2nooHnlzZAdgaVfWh9RCPA25oU1Qn0A7-_KD43qVIWzXCUoqJICKPAQe51nfrzNsezK5v56j0xeruteF4E4CWT8sLBCEVvGTxkluDx1zEAKSSym29ARTNrGOMxFqUGk9D3VPg_nYkXuKj817lxyl4LgCeesyfPDBR-XxSr9Qjb60Sg_wPaRbh1Kro.KqLxB1k7vTfcZcyKch226wym8oQpg4xjIuweYDUlTb4&amp;dib_tag=se&amp;keywords=xt60%2Bto%2Bdc5521%2Badapter&amp;qid=1770056912&amp;sprefix=XT60%2Bto%2BDC%2Caps%2C138&amp;sr=8-10&amp;th=1</t>
  </si>
  <si>
    <t>Adafruit Pin header Set</t>
  </si>
  <si>
    <t>B01GQFV13C</t>
  </si>
  <si>
    <t>https://www.amazon.com/Adafruit-Short-Feather-Headers-Kit/dp/B01GQFV13C/ref=sr_1_10?dib=eyJ2IjoiMSJ9.xUVg79aXuQm4zTfGo_qm1IRbuSmxUXaF2Kid7H5BuWFiyg4eC6HMRpSn3sr6mHW9t-Xn_roPBd1UDfOowr_U7NCyJq29AhCStu2YotpeTdOR6MTKK5DeMDO71cx4H9B1cCTUBZn_eA0qNWGCPyUq3Pe--AY_tpsuQeExsgeZ-J2HKidaxba-GvfkiFMSGWGUGOMMFSGddPO18XqDPjBv5zm7B-duX-mWNhMyI4C6Ntk.oxUq4GvhpMHHZjDwSyyXGyqeV0zQerwdQhfSGCeHKrY&amp;dib_tag=se&amp;keywords=Adafruit+Feather&amp;qid=1775686796&amp;sr=8-10</t>
  </si>
  <si>
    <t>DigiKey</t>
  </si>
  <si>
    <t>1528-1743-ND</t>
  </si>
  <si>
    <t>https://www.digikey.com/en/products/detail/adafruit-industries-llc/1311/6198255?gclsrc=aw.ds&amp;gad_source=1&amp;gad_campaignid=20243136172&amp;gbraid=0AAAAADrbLli5EjiQIrdRuaTa_QwUSTa4o&amp;gclid=EAIaIQobChMI052XiIrVkAMVCktHAR0KnAmQEAQYASABEgII-PD_BwE</t>
  </si>
  <si>
    <t>Shargeek 170 Power Bank (Prototype Battery)</t>
  </si>
  <si>
    <t>B0D2VWVPRX</t>
  </si>
  <si>
    <t>https://www.amazon.com/SHARGEEK-Portable-Charger-Display-Waterproof/dp/B0D2VWVPRX/ref=sr_1_2_sspa?dib=eyJ2IjoiMSJ9._JC3xjt-TGE2RQShiI57UHyT-4mykInAGg2WUCWcDZjko58Q3CEvc_8nAlrNBNtk4xWGvuya19KJXtdUllnkXx2XFz8QpteFKBW6mEi6uKPq9oC9ZchsaRT7Fw2H0SEHLgQ8TMH4vaYq90LCMinzLXobpkR8RnvJ86tGlWkXaJgCZdfK7hqGojFaRY8_RGHjcR8w4iX4hNx2R72gHuTIxQmW4UHIMqcSEi0eXDWhCP8.z4hTZFRnYaUI4CNYl0LjA_M5dI7WCyrlmiqHIHsOojc&amp;dib_tag=se&amp;keywords=waveshare%2Bgripper%2BA&amp;qid=1774198764&amp;sr=8-2-spons&amp;sp_csd=d2lkZ2V0TmFtZT1zcF9hdGY&amp;th=1</t>
  </si>
  <si>
    <t>HJGHY 12V 30000mAh Battery (Alt Battery Option)</t>
  </si>
  <si>
    <t>4 inch LED screen</t>
  </si>
  <si>
    <t>B0CRGQN58D</t>
  </si>
  <si>
    <t>30 Pair 22AWG 2 pin connector Plugs</t>
  </si>
  <si>
    <t>B0B2DC5LGW</t>
  </si>
  <si>
    <t>https://www.amazon.com/dp/B0B2DC5LGW/ref=syn_sd_onsite_desktop_0?ie=UTF8&amp;pd_rd_plhdr=t&amp;aref=EsVNXBUcu5&amp;th=1</t>
  </si>
  <si>
    <t>10 Pairs 2.0mm 3 Pin Connector Plugs</t>
  </si>
  <si>
    <t>B0DG8VLJF9</t>
  </si>
  <si>
    <t>https://www.amazon.com/10Pairs-2-0mm-Female-Connector-Silicone/dp/B0DG8VLJF9/ref=mp_s_a_1_8?crid=2Z4ZHPZO78NZT&amp;dib=eyJ2IjoiMSJ9.EC7pQVPCJ21sQ4BwRyK33u9yHtlVfD5SdVqq1ro_mijd2ECg6qt5gLHqXRN7DiL0y9I2SarRlNSPDlNAEwbXprjA5QRFb1epJTKIztAXYpjjZrPNhnoWF4K_yY4VvbhtMg_nmBlP1mAEAZkbyMFvmX9aMZ5J0fjMTvSs7o5a_Xvk3ZebmAeZXi7YAM1tHk3gR_d7h6ueIZr05XvUOE36uQ.Fdljebgsp4a98_WSHdD9FSGUKCWiu6_HIBL7CyID1G8&amp;dib_tag=se&amp;keywords=male+to+female+pin+connector+plugs&amp;qid=1774068255&amp;s=electronics&amp;sprefix=male+to+female+pin+connector+plugs%2Celectronics%2C148&amp;sr=1-8</t>
  </si>
  <si>
    <t>Round 20mm on-off switches (6 pack)</t>
  </si>
  <si>
    <t>B0F3XLZCDC</t>
  </si>
  <si>
    <t>Amazon.com: DWEII 6PCS 12 Volt DC Mini Circle Toggle Switch ON Off Round Rocker Switches SPST 20mm Mini for Car Automotive RV 2 Pin Switch 120V Wired KCD1 : Automotive</t>
  </si>
  <si>
    <t>Circular Water Resistant USB Extender</t>
  </si>
  <si>
    <t>B0DT4D5L36</t>
  </si>
  <si>
    <t>https://www.amazon.com/dp/B0DT4D5L36</t>
  </si>
  <si>
    <t>Sleeve Sewing Materials</t>
  </si>
  <si>
    <t>Black water proof zipper 8 inch</t>
  </si>
  <si>
    <t>B08YP9Y56T</t>
  </si>
  <si>
    <t>https://www.amazon.com/gp/product/B08YP9Y56T?th=1</t>
  </si>
  <si>
    <t>Black waterproof Nylon, Precut 1-yard</t>
  </si>
  <si>
    <t>B09VXFCV91</t>
  </si>
  <si>
    <t>https://www.amazon.com/gp/product/B09VXFCV91?th=1</t>
  </si>
  <si>
    <t>50 pack sewing fabric clips</t>
  </si>
  <si>
    <t>B0FHQPS28M</t>
  </si>
  <si>
    <t>https://www.amazon.com/gp/product/B0FHQPS28M</t>
  </si>
  <si>
    <t>Velcro for fabric</t>
  </si>
  <si>
    <t>B0CT2X9Y7W</t>
  </si>
  <si>
    <t>https://www.amazon.com/dp/B0CT2X9Y7W</t>
  </si>
  <si>
    <t>Waterproof thread</t>
  </si>
  <si>
    <t>B0DDTCCWWB</t>
  </si>
  <si>
    <t>https://www.amazon.com/Connimonet-Waterproof-1000-Yard-Machines-Stitching/dp/B0DDTCCWWB</t>
  </si>
  <si>
    <t>Link:</t>
  </si>
  <si>
    <t>https://jlc3dp.com/3d-printing-quote?from=button</t>
  </si>
  <si>
    <t>File Name</t>
  </si>
  <si>
    <t>3D Technology/Process</t>
  </si>
  <si>
    <t>Material</t>
  </si>
  <si>
    <t>Color</t>
  </si>
  <si>
    <t>Surface Finish</t>
  </si>
  <si>
    <t>Product Desc</t>
  </si>
  <si>
    <t>QTY</t>
  </si>
  <si>
    <t>Total Cost</t>
  </si>
  <si>
    <t>Mount</t>
  </si>
  <si>
    <t>TubeSystem_mount.STL</t>
  </si>
  <si>
    <t>FDM</t>
  </si>
  <si>
    <t>PA12-CF</t>
  </si>
  <si>
    <t>Black</t>
  </si>
  <si>
    <t>No</t>
  </si>
  <si>
    <t>Lower tube</t>
  </si>
  <si>
    <t>TubeSystem_body_Btm_Btry.STL</t>
  </si>
  <si>
    <t>Upper tube</t>
  </si>
  <si>
    <t>TubeSystem_body_top_v3.STL</t>
  </si>
  <si>
    <t>Spacer</t>
  </si>
  <si>
    <t>TubeSystem_Electronics_4in_v2.STL</t>
  </si>
  <si>
    <t xml:space="preserve">Tip </t>
  </si>
  <si>
    <t>TubeSystem_Tip.STL</t>
  </si>
  <si>
    <t>Cap</t>
  </si>
  <si>
    <t> </t>
  </si>
  <si>
    <t>SLA</t>
  </si>
  <si>
    <t>JLC Black Resin</t>
  </si>
  <si>
    <t>Yes (Genral sanding)</t>
  </si>
  <si>
    <t>DC adaptor</t>
  </si>
  <si>
    <t>DC Jack adaptor</t>
  </si>
  <si>
    <t>Adaptor nut</t>
  </si>
  <si>
    <t>DC Jack Nut</t>
  </si>
  <si>
    <t>Pins</t>
  </si>
  <si>
    <t>Quick_Swap_Pin.STL</t>
  </si>
  <si>
    <t>Binder jetting</t>
  </si>
  <si>
    <t>BJ-316L</t>
  </si>
  <si>
    <t>Yes (Polishing)</t>
  </si>
  <si>
    <t>Stainless Steel Connectors -HS Code 732690</t>
  </si>
  <si>
    <t>Rails Left</t>
  </si>
  <si>
    <t>NewRailsLeftSide.STL</t>
  </si>
  <si>
    <t>Stainless Steel Bracket -HS Code 732690</t>
  </si>
  <si>
    <t>Rails Right</t>
  </si>
  <si>
    <t>NewRailsRightSide.STL</t>
  </si>
  <si>
    <t>Stainless Steel Bracket -HS Code 732691</t>
  </si>
  <si>
    <t>Slide</t>
  </si>
  <si>
    <t>Quick_Swap_Slide(1).STL</t>
  </si>
  <si>
    <t>Stainless Steel Insert Parts -HS Code 732690</t>
  </si>
  <si>
    <t>Umbrella Holder</t>
  </si>
  <si>
    <t>Umbrella_Holder.STL</t>
  </si>
  <si>
    <t>Bin and Brush</t>
  </si>
  <si>
    <t>Arm_bracketBinandBrush.STL</t>
  </si>
  <si>
    <t>FMD</t>
  </si>
  <si>
    <t>Controller Shell</t>
  </si>
  <si>
    <t>Controller_Shell.STL</t>
  </si>
  <si>
    <t>Sleeve Bracket</t>
  </si>
  <si>
    <t>TubeSystem_Bracket.STL</t>
  </si>
  <si>
    <t>Mounting Cap L</t>
  </si>
  <si>
    <t>TubeSystem_cap_left. STL</t>
  </si>
  <si>
    <t>SLS(Nylon)</t>
  </si>
  <si>
    <t>3201PA-F Nylon</t>
  </si>
  <si>
    <t>Mounting Cap R</t>
  </si>
  <si>
    <t>TubeSystem_cap_right. STL</t>
  </si>
  <si>
    <t>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</si>
</sst>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8" formatCode="&quot;$&quot;#,##0.00_);[Red]\(&quot;$&quot;#,##0.00\)"/>
    <numFmt numFmtId="44" formatCode="_(&quot;$&quot;* #,##0.00_);_(&quot;$&quot;* \(#,##0.00\);_(&quot;$&quot;* &quot;-&quot;??_);_(@_)"/>
  </numFmts>
  <fonts count="6" x14ac:knownFonts="1">
    <font>
      <sz val="11"/>
      <color theme="1"/>
      <name val="Aptos Narrow"/>
      <family val="2"/>
      <scheme val="minor"/>
    </font>
    <font>
      <sz val="11"/>
      <color theme="1"/>
      <name val="Aptos Narrow"/>
      <family val="2"/>
      <scheme val="minor"/>
    </font>
    <font>
      <u/>
      <sz val="11"/>
      <color theme="10"/>
      <name val="Aptos Narrow"/>
      <family val="2"/>
      <scheme val="minor"/>
    </font>
    <font>
      <b/>
      <sz val="11"/>
      <color theme="1"/>
      <name val="Aptos Narrow"/>
      <family val="2"/>
      <scheme val="minor"/>
    </font>
    <font>
      <sz val="11"/>
      <color rgb="FF000000"/>
      <name val="Calibri"/>
      <family val="2"/>
    </font>
    <font>
      <sz val="11"/>
      <color rgb="FF000000"/>
      <name val="Aptos Narrow"/>
      <family val="2"/>
      <scheme val="minor"/>
    </font>
  </fonts>
  <fills count="14">
    <fill>
      <patternFill patternType="none"/>
    </fill>
    <fill>
      <patternFill patternType="gray125"/>
    </fill>
    <fill>
      <patternFill patternType="solid">
        <fgColor theme="3" tint="0.749992370372631"/>
        <bgColor indexed="64"/>
      </patternFill>
    </fill>
    <fill>
      <patternFill patternType="solid">
        <fgColor theme="9" tint="0.59999389629810485"/>
        <bgColor indexed="64"/>
      </patternFill>
    </fill>
    <fill>
      <patternFill patternType="solid">
        <fgColor theme="5" tint="0.79998168889431442"/>
        <bgColor indexed="64"/>
      </patternFill>
    </fill>
    <fill>
      <patternFill patternType="solid">
        <fgColor theme="8" tint="0.79998168889431442"/>
        <bgColor indexed="64"/>
      </patternFill>
    </fill>
    <fill>
      <patternFill patternType="solid">
        <fgColor theme="5" tint="0.79998168889431442"/>
        <bgColor rgb="FF000000"/>
      </patternFill>
    </fill>
    <fill>
      <patternFill patternType="solid">
        <fgColor theme="7"/>
        <bgColor indexed="64"/>
      </patternFill>
    </fill>
    <fill>
      <patternFill patternType="solid">
        <fgColor theme="5" tint="0.59999389629810485"/>
        <bgColor indexed="64"/>
      </patternFill>
    </fill>
    <fill>
      <patternFill patternType="solid">
        <fgColor rgb="FFF8CBAD"/>
        <bgColor rgb="FF000000"/>
      </patternFill>
    </fill>
    <fill>
      <patternFill patternType="solid">
        <fgColor theme="6" tint="0.59999389629810485"/>
        <bgColor indexed="64"/>
      </patternFill>
    </fill>
    <fill>
      <patternFill patternType="solid">
        <fgColor theme="9" tint="0.79998168889431442"/>
        <bgColor indexed="64"/>
      </patternFill>
    </fill>
    <fill>
      <patternFill patternType="solid">
        <fgColor theme="4" tint="0.59999389629810485"/>
        <bgColor indexed="64"/>
      </patternFill>
    </fill>
    <fill>
      <patternFill patternType="solid">
        <fgColor theme="2" tint="-9.9978637043366805E-2"/>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s>
  <cellStyleXfs count="3">
    <xf numFmtId="0" fontId="0" fillId="0" borderId="0"/>
    <xf numFmtId="44" fontId="1" fillId="0" borderId="0" applyFont="0" applyFill="0" applyBorder="0" applyAlignment="0" applyProtection="0"/>
    <xf numFmtId="0" fontId="2" fillId="0" borderId="0" applyNumberFormat="0" applyFill="0" applyBorder="0" applyAlignment="0" applyProtection="0"/>
  </cellStyleXfs>
  <cellXfs count="60">
    <xf numFmtId="0" fontId="0" fillId="0" borderId="0" xfId="0"/>
    <xf numFmtId="0" fontId="0" fillId="2" borderId="0" xfId="0" applyFill="1"/>
    <xf numFmtId="0" fontId="0" fillId="3" borderId="1" xfId="0" applyFill="1" applyBorder="1"/>
    <xf numFmtId="0" fontId="0" fillId="4" borderId="1" xfId="0" applyFill="1" applyBorder="1"/>
    <xf numFmtId="0" fontId="0" fillId="5" borderId="1" xfId="0" applyFill="1" applyBorder="1"/>
    <xf numFmtId="44" fontId="0" fillId="2" borderId="0" xfId="1" applyFont="1" applyFill="1"/>
    <xf numFmtId="44" fontId="0" fillId="3" borderId="2" xfId="1" applyFont="1" applyFill="1" applyBorder="1"/>
    <xf numFmtId="44" fontId="0" fillId="4" borderId="2" xfId="1" applyFont="1" applyFill="1" applyBorder="1"/>
    <xf numFmtId="44" fontId="0" fillId="5" borderId="2" xfId="1" applyFont="1" applyFill="1" applyBorder="1"/>
    <xf numFmtId="44" fontId="0" fillId="3" borderId="1" xfId="1" applyFont="1" applyFill="1" applyBorder="1"/>
    <xf numFmtId="44" fontId="0" fillId="4" borderId="1" xfId="1" applyFont="1" applyFill="1" applyBorder="1"/>
    <xf numFmtId="44" fontId="0" fillId="5" borderId="1" xfId="1" applyFont="1" applyFill="1" applyBorder="1"/>
    <xf numFmtId="0" fontId="2" fillId="4" borderId="3" xfId="2" applyFill="1" applyBorder="1"/>
    <xf numFmtId="0" fontId="2" fillId="3" borderId="3" xfId="2" applyFill="1" applyBorder="1"/>
    <xf numFmtId="1" fontId="0" fillId="3" borderId="1" xfId="0" applyNumberFormat="1" applyFill="1" applyBorder="1" applyAlignment="1">
      <alignment horizontal="left"/>
    </xf>
    <xf numFmtId="0" fontId="0" fillId="2" borderId="1" xfId="0" applyFill="1" applyBorder="1"/>
    <xf numFmtId="44" fontId="0" fillId="2" borderId="1" xfId="0" applyNumberFormat="1" applyFill="1" applyBorder="1"/>
    <xf numFmtId="44" fontId="0" fillId="0" borderId="0" xfId="0" applyNumberFormat="1"/>
    <xf numFmtId="0" fontId="3" fillId="4" borderId="1" xfId="0" applyFont="1" applyFill="1" applyBorder="1"/>
    <xf numFmtId="0" fontId="4" fillId="6" borderId="1" xfId="0" applyFont="1" applyFill="1" applyBorder="1"/>
    <xf numFmtId="0" fontId="0" fillId="5" borderId="1" xfId="0" applyFill="1" applyBorder="1" applyAlignment="1">
      <alignment horizontal="center"/>
    </xf>
    <xf numFmtId="0" fontId="2" fillId="5" borderId="3" xfId="2" applyFill="1" applyBorder="1"/>
    <xf numFmtId="0" fontId="0" fillId="5" borderId="1" xfId="0" applyFill="1" applyBorder="1" applyAlignment="1">
      <alignment wrapText="1"/>
    </xf>
    <xf numFmtId="0" fontId="2" fillId="4" borderId="0" xfId="2" applyFill="1"/>
    <xf numFmtId="0" fontId="3" fillId="5" borderId="1" xfId="0" applyFont="1" applyFill="1" applyBorder="1"/>
    <xf numFmtId="0" fontId="0" fillId="3" borderId="0" xfId="0" applyFill="1"/>
    <xf numFmtId="44" fontId="0" fillId="3" borderId="0" xfId="1" applyFont="1" applyFill="1"/>
    <xf numFmtId="0" fontId="0" fillId="7" borderId="0" xfId="0" applyFill="1"/>
    <xf numFmtId="0" fontId="0" fillId="0" borderId="1" xfId="0" applyBorder="1" applyAlignment="1">
      <alignment horizontal="center"/>
    </xf>
    <xf numFmtId="0" fontId="0" fillId="8" borderId="1" xfId="0" applyFill="1" applyBorder="1" applyAlignment="1">
      <alignment horizontal="center"/>
    </xf>
    <xf numFmtId="0" fontId="4" fillId="9" borderId="1" xfId="0" applyFont="1" applyFill="1" applyBorder="1"/>
    <xf numFmtId="44" fontId="0" fillId="8" borderId="1" xfId="1" applyFont="1" applyFill="1" applyBorder="1" applyAlignment="1">
      <alignment horizontal="center"/>
    </xf>
    <xf numFmtId="44" fontId="0" fillId="8" borderId="1" xfId="0" applyNumberFormat="1" applyFill="1" applyBorder="1" applyAlignment="1">
      <alignment horizontal="center"/>
    </xf>
    <xf numFmtId="0" fontId="4" fillId="9" borderId="7" xfId="0" applyFont="1" applyFill="1" applyBorder="1"/>
    <xf numFmtId="0" fontId="0" fillId="8" borderId="1" xfId="0" applyFill="1" applyBorder="1" applyAlignment="1">
      <alignment horizontal="center" wrapText="1"/>
    </xf>
    <xf numFmtId="0" fontId="0" fillId="10" borderId="1" xfId="0" applyFill="1" applyBorder="1" applyAlignment="1">
      <alignment horizontal="center"/>
    </xf>
    <xf numFmtId="44" fontId="0" fillId="10" borderId="1" xfId="1" applyFont="1" applyFill="1" applyBorder="1" applyAlignment="1">
      <alignment horizontal="center"/>
    </xf>
    <xf numFmtId="44" fontId="0" fillId="10" borderId="1" xfId="0" applyNumberFormat="1" applyFill="1" applyBorder="1" applyAlignment="1">
      <alignment horizontal="center"/>
    </xf>
    <xf numFmtId="8" fontId="0" fillId="5" borderId="1" xfId="1" applyNumberFormat="1" applyFont="1" applyFill="1" applyBorder="1" applyAlignment="1">
      <alignment horizontal="right"/>
    </xf>
    <xf numFmtId="44" fontId="0" fillId="5" borderId="1" xfId="0" applyNumberFormat="1" applyFill="1" applyBorder="1" applyAlignment="1">
      <alignment horizontal="center"/>
    </xf>
    <xf numFmtId="44" fontId="0" fillId="5" borderId="1" xfId="1" applyFont="1" applyFill="1" applyBorder="1" applyAlignment="1">
      <alignment horizontal="center"/>
    </xf>
    <xf numFmtId="0" fontId="0" fillId="11" borderId="1" xfId="0" applyFill="1" applyBorder="1"/>
    <xf numFmtId="44" fontId="0" fillId="11" borderId="2" xfId="1" applyFont="1" applyFill="1" applyBorder="1"/>
    <xf numFmtId="44" fontId="0" fillId="11" borderId="1" xfId="1" applyFont="1" applyFill="1" applyBorder="1"/>
    <xf numFmtId="0" fontId="2" fillId="11" borderId="3" xfId="2" applyFill="1" applyBorder="1"/>
    <xf numFmtId="0" fontId="2" fillId="11" borderId="5" xfId="2" applyFill="1" applyBorder="1"/>
    <xf numFmtId="0" fontId="3" fillId="11" borderId="1" xfId="0" applyFont="1" applyFill="1" applyBorder="1"/>
    <xf numFmtId="0" fontId="5" fillId="12" borderId="1" xfId="0" applyFont="1" applyFill="1" applyBorder="1" applyAlignment="1">
      <alignment horizontal="center"/>
    </xf>
    <xf numFmtId="8" fontId="5" fillId="12" borderId="1" xfId="1" applyNumberFormat="1" applyFont="1" applyFill="1" applyBorder="1" applyAlignment="1">
      <alignment horizontal="right"/>
    </xf>
    <xf numFmtId="44" fontId="5" fillId="12" borderId="1" xfId="0" applyNumberFormat="1" applyFont="1" applyFill="1" applyBorder="1" applyAlignment="1">
      <alignment horizontal="center"/>
    </xf>
    <xf numFmtId="0" fontId="5" fillId="12" borderId="4" xfId="0" applyFont="1" applyFill="1" applyBorder="1" applyAlignment="1">
      <alignment horizontal="center"/>
    </xf>
    <xf numFmtId="0" fontId="5" fillId="13" borderId="1" xfId="0" applyFont="1" applyFill="1" applyBorder="1" applyAlignment="1">
      <alignment horizontal="center"/>
    </xf>
    <xf numFmtId="0" fontId="5" fillId="13" borderId="4" xfId="0" applyFont="1" applyFill="1" applyBorder="1" applyAlignment="1">
      <alignment horizontal="center"/>
    </xf>
    <xf numFmtId="44" fontId="5" fillId="13" borderId="1" xfId="1" applyFont="1" applyFill="1" applyBorder="1" applyAlignment="1">
      <alignment horizontal="center"/>
    </xf>
    <xf numFmtId="44" fontId="5" fillId="13" borderId="1" xfId="0" applyNumberFormat="1" applyFont="1" applyFill="1" applyBorder="1" applyAlignment="1">
      <alignment horizontal="center"/>
    </xf>
    <xf numFmtId="0" fontId="5" fillId="13" borderId="2" xfId="0" applyFont="1" applyFill="1" applyBorder="1" applyAlignment="1">
      <alignment horizontal="center"/>
    </xf>
    <xf numFmtId="0" fontId="0" fillId="13" borderId="8" xfId="0" applyFill="1" applyBorder="1" applyAlignment="1">
      <alignment horizontal="center"/>
    </xf>
    <xf numFmtId="0" fontId="5" fillId="13" borderId="3" xfId="0" applyFont="1" applyFill="1" applyBorder="1" applyAlignment="1">
      <alignment horizontal="center"/>
    </xf>
    <xf numFmtId="8" fontId="5" fillId="13" borderId="4" xfId="1" applyNumberFormat="1" applyFont="1" applyFill="1" applyBorder="1" applyAlignment="1">
      <alignment horizontal="right"/>
    </xf>
    <xf numFmtId="0" fontId="2" fillId="7" borderId="6" xfId="2" applyFill="1" applyBorder="1" applyAlignment="1">
      <alignment horizontal="center"/>
    </xf>
  </cellXfs>
  <cellStyles count="3">
    <cellStyle name="Currency" xfId="1" builtinId="4"/>
    <cellStyle name="Hyperlink" xfId="2" builtinId="8"/>
    <cellStyle name="Normal" xfId="0" builtinId="0"/>
  </cellStyles>
  <dxfs count="0"/>
  <tableStyles count="0" defaultTableStyle="TableStyleMedium2" defaultPivotStyle="PivotStyleMedium9"/>
  <colors>
    <mruColors>
      <color rgb="FFFFFF99"/>
      <color rgb="FF90244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drawing1.xml><?xml version="1.0" encoding="utf-8"?>
<xdr:wsDr xmlns:xdr="http://schemas.openxmlformats.org/drawingml/2006/spreadsheetDrawing" xmlns:a="http://schemas.openxmlformats.org/drawingml/2006/main">
  <xdr:twoCellAnchor>
    <xdr:from>
      <xdr:col>0</xdr:col>
      <xdr:colOff>477520</xdr:colOff>
      <xdr:row>44</xdr:row>
      <xdr:rowOff>30480</xdr:rowOff>
    </xdr:from>
    <xdr:to>
      <xdr:col>2</xdr:col>
      <xdr:colOff>396240</xdr:colOff>
      <xdr:row>50</xdr:row>
      <xdr:rowOff>96520</xdr:rowOff>
    </xdr:to>
    <xdr:sp macro="" textlink="">
      <xdr:nvSpPr>
        <xdr:cNvPr id="2" name="TextBox 1">
          <a:extLst>
            <a:ext uri="{FF2B5EF4-FFF2-40B4-BE49-F238E27FC236}">
              <a16:creationId xmlns:a16="http://schemas.microsoft.com/office/drawing/2014/main" id="{C5A2D09B-BE6E-FD70-4184-6BC0A70A0E2C}"/>
            </a:ext>
          </a:extLst>
        </xdr:cNvPr>
        <xdr:cNvSpPr txBox="1"/>
      </xdr:nvSpPr>
      <xdr:spPr>
        <a:xfrm>
          <a:off x="477520" y="7162800"/>
          <a:ext cx="3987800" cy="11633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Team Notes:</a:t>
          </a:r>
        </a:p>
        <a:p>
          <a:r>
            <a:rPr lang="en-US" sz="1100"/>
            <a:t>Kit cost does not include soldering</a:t>
          </a:r>
          <a:r>
            <a:rPr lang="en-US" sz="1100" baseline="0"/>
            <a:t> material costs</a:t>
          </a:r>
        </a:p>
        <a:p>
          <a:r>
            <a:rPr lang="en-US" sz="1100" baseline="0"/>
            <a:t>Files and instructions for ordering the 3D prints are documented on the following sheet</a:t>
          </a:r>
        </a:p>
        <a:p>
          <a:r>
            <a:rPr lang="en-US" sz="1100" baseline="0"/>
            <a:t>Prices are accurate as of early-mid 2026</a:t>
          </a:r>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558165</xdr:colOff>
      <xdr:row>20</xdr:row>
      <xdr:rowOff>173355</xdr:rowOff>
    </xdr:from>
    <xdr:to>
      <xdr:col>3</xdr:col>
      <xdr:colOff>280035</xdr:colOff>
      <xdr:row>31</xdr:row>
      <xdr:rowOff>144780</xdr:rowOff>
    </xdr:to>
    <xdr:sp macro="" textlink="">
      <xdr:nvSpPr>
        <xdr:cNvPr id="2" name="TextBox 1">
          <a:extLst>
            <a:ext uri="{FF2B5EF4-FFF2-40B4-BE49-F238E27FC236}">
              <a16:creationId xmlns:a16="http://schemas.microsoft.com/office/drawing/2014/main" id="{E93DBD9F-7081-C2F6-A0AE-31679FC43D8F}"/>
            </a:ext>
          </a:extLst>
        </xdr:cNvPr>
        <xdr:cNvSpPr txBox="1"/>
      </xdr:nvSpPr>
      <xdr:spPr>
        <a:xfrm>
          <a:off x="558165" y="4878705"/>
          <a:ext cx="4693920" cy="19621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The</a:t>
          </a:r>
          <a:r>
            <a:rPr lang="en-US" sz="1100" baseline="0"/>
            <a:t> above table outlines the settings recommended by the team from the vendor we used during prototyping. The feel free to use another vendor if desired.</a:t>
          </a:r>
        </a:p>
        <a:p>
          <a:endParaRPr lang="en-US" sz="1100" baseline="0"/>
        </a:p>
        <a:p>
          <a:r>
            <a:rPr lang="en-US" sz="1100" baseline="0"/>
            <a:t>If using the recommended vender, we suggest making an account before uploading any parts so that files are saved as you go and progress will not be lost if the browser refreshes.</a:t>
          </a:r>
        </a:p>
        <a:p>
          <a:endParaRPr lang="en-US" sz="1100" baseline="0"/>
        </a:p>
        <a:p>
          <a:r>
            <a:rPr lang="en-US" sz="1100" baseline="0"/>
            <a:t>First upload the .STL file of the desired part, then begin selecting the listed settings in the order presented. Some options will not appear unless a previous setting is already selected.</a:t>
          </a:r>
          <a:endParaRPr lang="en-US"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3" Type="http://schemas.openxmlformats.org/officeDocument/2006/relationships/hyperlink" Target="https://www.amazon.com/HJGHY-18000mAH-22000mAh-Rechargeable-Speedboat/dp/B0DWXLDXQJ/ref=sr_1_1?dib=eyJ2IjoiMSJ9.gDzmq0Mxhv6Rod-TyiBATw.XB9uZE8932f664zYHutJu2toOF9X0tPlswFqKFI3Yag&amp;dib_tag=se&amp;keywords=12V30000MAH-66305718&amp;qid=1762638457&amp;sr=8-1&amp;th=1" TargetMode="External"/><Relationship Id="rId18" Type="http://schemas.openxmlformats.org/officeDocument/2006/relationships/hyperlink" Target="https://www.amazon.com/SinLoon-Adapter-Wireless-Soldering-XT-021/dp/B0DHWTZM83/ref=sr_1_10?crid=2LWFM9OWYH7RY&amp;dib=eyJ2IjoiMSJ9.SHxX2P3dfShOOT2ljGFf1SiOHA6pDDzPoWjq_Mp4AhYSopGvik2nooHnlzZAdgaVfWh9RCPA25oU1Qn0A7-_KD43qVIWzXCUoqJICKPAQe51nfrzNsezK5v56j0xeruteF4E4CWT8sLBCEVvGTxkluDx1zEAKSSym29ARTNrGOMxFqUGk9D3VPg_nYkXuKj817lxyl4LgCeesyfPDBR-XxSr9Qjb60Sg_wPaRbh1Kro.KqLxB1k7vTfcZcyKch226wym8oQpg4xjIuweYDUlTb4&amp;dib_tag=se&amp;keywords=xt60%2Bto%2Bdc5521%2Badapter&amp;qid=1770056912&amp;sprefix=XT60%2Bto%2BDC%2Caps%2C138&amp;sr=8-10&amp;th=1" TargetMode="External"/><Relationship Id="rId26" Type="http://schemas.openxmlformats.org/officeDocument/2006/relationships/hyperlink" Target="https://www.amazon.com/Adafruit-Short-Feather-Headers-Kit/dp/B01GQFV13C/ref=sr_1_10?dib=eyJ2IjoiMSJ9.xUVg79aXuQm4zTfGo_qm1IRbuSmxUXaF2Kid7H5BuWFiyg4eC6HMRpSn3sr6mHW9t-Xn_roPBd1UDfOowr_U7NCyJq29AhCStu2YotpeTdOR6MTKK5DeMDO71cx4H9B1cCTUBZn_eA0qNWGCPyUq3Pe--AY_tpsuQeExsgeZ-J2HKidaxba-GvfkiFMSGWGUGOMMFSGddPO18XqDPjBv5zm7B-duX-mWNhMyI4C6Ntk.oxUq4GvhpMHHZjDwSyyXGyqeV0zQerwdQhfSGCeHKrY&amp;dib_tag=se&amp;keywords=Adafruit+Feather&amp;qid=1775686796&amp;sr=8-10" TargetMode="External"/><Relationship Id="rId3" Type="http://schemas.openxmlformats.org/officeDocument/2006/relationships/hyperlink" Target="https://www.bestpcbs.com/blog/2025/06/pcb-board-price-how-much-does-a-pcb-board-cost/" TargetMode="External"/><Relationship Id="rId21" Type="http://schemas.openxmlformats.org/officeDocument/2006/relationships/hyperlink" Target="https://www.amazon.com/EG-STARTS-Illuminated-Joystick-Raspberry/dp/B01LXZSV2N/ref=sr_1_2?crid=3DJ5QYDZQZZEC&amp;dib=eyJ2IjoiMSJ9.fj6L7tSNKth1BFLe-kY605MLNtaJrKYpK714qI6wiD_I5B8F0ma6vIOCZzYO5RzRe7c_6NB572NwxYJt5BtvcqhgKW0xTn7jYEElubO5ZUjZUS0g4QVZKq47HKF68Ko_-pOV997n9Nr6sbUjCZeH_WrxWKdG5ociYSfSpuz90Vlpn-m9jFSjWbeJCneA81uIGHsCet6TZ3lBCWDji5IKgMHvy6ft3s-lipHCibGxyBE.Y-LNVXE5XcNKxPc3AqrueFL5tqEmhM7Dg5Gzlxku5Kk&amp;dib_tag=se&amp;keywords=arcade+light+buttons&amp;qid=1769031553&amp;s=videogames&amp;sprefix=arcade+light+buttons%2Cvideogames%2C99&amp;sr=1-2" TargetMode="External"/><Relationship Id="rId34" Type="http://schemas.openxmlformats.org/officeDocument/2006/relationships/printerSettings" Target="../printerSettings/printerSettings1.bin"/><Relationship Id="rId7" Type="http://schemas.openxmlformats.org/officeDocument/2006/relationships/hyperlink" Target="https://www.mcmaster.com/90591A250/" TargetMode="External"/><Relationship Id="rId12" Type="http://schemas.openxmlformats.org/officeDocument/2006/relationships/hyperlink" Target="https://www.amazon.com/waveshare-High-performance-Closed-loop-Real-time-Protection-Adjustable/dp/B0DY14MXG5/ref=sr_1_1?crid=2LXRRVQIWYC5C&amp;dib=eyJ2IjoiMSJ9.XQVk-GysUtu1R7E3jXtr0TPZLMVJQr-77ol-TSKQ6kxB1UFpvxRIPynHoIl5tE53LZDkbVWIdqU7JkGvxUpTm4iQnr3qkIF2HGcmvBRt5p4._p5XxmzUC5L0voDjVDtmH3G1DQ40XeCVjzMCmp_jS_0&amp;dib_tag=se&amp;keywords=waveshare+gripper+A&amp;qid=1762827157&amp;sprefix=waveshare+gripper+a%2Caps%2C160&amp;sr=8-1" TargetMode="External"/><Relationship Id="rId17" Type="http://schemas.openxmlformats.org/officeDocument/2006/relationships/hyperlink" Target="https://jlc3dp.com/3d-printing-quote" TargetMode="External"/><Relationship Id="rId25" Type="http://schemas.openxmlformats.org/officeDocument/2006/relationships/hyperlink" Target="https://www.amazon.com/gp/product/B0FHQPS28M" TargetMode="External"/><Relationship Id="rId33" Type="http://schemas.openxmlformats.org/officeDocument/2006/relationships/hyperlink" Target="https://www.amazon.com/dp/B0DT4D5L36" TargetMode="External"/><Relationship Id="rId2" Type="http://schemas.openxmlformats.org/officeDocument/2006/relationships/hyperlink" Target="https://www.adafruit.com/product/5858?srsltid=AfmBOoow2XLiv4bNjhqtQ0clTIF3nD_nd0G4LXMP7EV8kHCG7qfZMliW" TargetMode="External"/><Relationship Id="rId16" Type="http://schemas.openxmlformats.org/officeDocument/2006/relationships/hyperlink" Target="https://www.digikey.com/en/products/detail/adafruit-industries-llc/1311/6198255?gclsrc=aw.ds&amp;gad_source=1&amp;gad_campaignid=20243136172&amp;gbraid=0AAAAADrbLli5EjiQIrdRuaTa_QwUSTa4o&amp;gclid=EAIaIQobChMI052XiIrVkAMVCktHAR0KnAmQEAQYASABEgII-PD_BwE" TargetMode="External"/><Relationship Id="rId20" Type="http://schemas.openxmlformats.org/officeDocument/2006/relationships/hyperlink" Target="https://www.amazon.com/Hosyond-320x480-Capacitive-Display-Mega2560/dp/B0CRGQN58D/ref=sr_1_1?crid=33A17FSUQVH1K&amp;dib=eyJ2IjoiMSJ9.md2KqkoJtP99SSw8IL89B_zmJRlq_835Nm7Fn7o62nmdBSn6SxW0FYbSIeCRKOKp4A8J7ySSzezeyvRxJTk60WiqE0D80pzNuezRvvV9MH0wfgOdxxVquKS4Go7H9ZIq8qSL3cR8f_bwaXxrBk6TimpcHRq-sIDSnzoSPz8Q0Ix2u-cp9mr2oFVepVCEUHuENywOn4QcDeircmj-jbLeoCBrmAxe36c5Xs3lcL_61yU.s9oX8vXHI7oMfCmVK_N0IjCQrrICVz7chaW4Gnfo4Eo&amp;dib_tag=se&amp;keywords=screen%2Bled%2Bdisplay%2B4%2Binches%2Barduino&amp;qid=1769030753&amp;sprefix=screen%2Bled%2Bdisplay%2B4%2Binches%2Barduino%2Caps%2C89&amp;sr=8-1&amp;th=1" TargetMode="External"/><Relationship Id="rId29" Type="http://schemas.openxmlformats.org/officeDocument/2006/relationships/hyperlink" Target="https://www.amazon.com/dp/B0CT2X9Y7W" TargetMode="External"/><Relationship Id="rId1" Type="http://schemas.openxmlformats.org/officeDocument/2006/relationships/hyperlink" Target="https://www.adafruit.com/product/5400?srsltid=AfmBOopq24hnmD2ugi-ushusM7gKSMn7LZiJ3KdvgZsEpq4FaGHvwQWg" TargetMode="External"/><Relationship Id="rId6" Type="http://schemas.openxmlformats.org/officeDocument/2006/relationships/hyperlink" Target="https://www.mcmaster.com/47065T831/" TargetMode="External"/><Relationship Id="rId11" Type="http://schemas.openxmlformats.org/officeDocument/2006/relationships/hyperlink" Target="https://www.mcmaster.com/92095A208/" TargetMode="External"/><Relationship Id="rId24" Type="http://schemas.openxmlformats.org/officeDocument/2006/relationships/hyperlink" Target="https://www.amazon.com/gp/product/B08YP9Y56T?th=1" TargetMode="External"/><Relationship Id="rId32" Type="http://schemas.openxmlformats.org/officeDocument/2006/relationships/hyperlink" Target="https://www.amazon.com/NITRO4X4-Stainless-Steel-Hose-Clamps/dp/B0DRHKN6ZK/ref=mp_s_a_1_3?crid=IL6Z0SNAT3DN&amp;dib=eyJ2IjoiMSJ9.D8m9G_hPev0Rxd83pR6reFxvZhgLLpsNaE6j4fK6qkI0f383oC0TovivInDB9BmT3bMpCtWA0gcF3xmIkhEhk7l64gQ8xCWNpKQ874aTdbPhPpK5f_uvM-JbeEnhkC9_-sFjo_wuXzTJsKC9EtdhqjKBQa63b-4TA-DHIS11sTQJ-JGjroGZgj_yXYWX9rYebmsKEOpfdblrC8frX9QgGw.zjlg1tfyBoUSGxkOysLL-MBJPkoxdvB_jiYOHppUnd0&amp;dib_tag=se&amp;keywords=1.75%2Binch%2Bhose%2Bclamp&amp;qid=1776174080&amp;s=industrial&amp;sprefix=1.75%2Binch%2Bhose%2Bclamp%2Cindustrial%2C148&amp;sr=1-3&amp;th=1" TargetMode="External"/><Relationship Id="rId5" Type="http://schemas.openxmlformats.org/officeDocument/2006/relationships/hyperlink" Target="https://www.mcmaster.com/47065T139" TargetMode="External"/><Relationship Id="rId15" Type="http://schemas.openxmlformats.org/officeDocument/2006/relationships/hyperlink" Target="https://www.mcmaster.com/47065T822" TargetMode="External"/><Relationship Id="rId23" Type="http://schemas.openxmlformats.org/officeDocument/2006/relationships/hyperlink" Target="https://www.amazon.com/SHARGEEK-Portable-Charger-Display-Waterproof/dp/B0D2VWVPRX/ref=sr_1_2_sspa?dib=eyJ2IjoiMSJ9._JC3xjt-TGE2RQShiI57UHyT-4mykInAGg2WUCWcDZjko58Q3CEvc_8nAlrNBNtk4xWGvuya19KJXtdUllnkXx2XFz8QpteFKBW6mEi6uKPq9oC9ZchsaRT7Fw2H0SEHLgQ8TMH4vaYq90LCMinzLXobpkR8RnvJ86tGlWkXaJgCZdfK7hqGojFaRY8_RGHjcR8w4iX4hNx2R72gHuTIxQmW4UHIMqcSEi0eXDWhCP8.z4hTZFRnYaUI4CNYl0LjA_M5dI7WCyrlmiqHIHsOojc&amp;dib_tag=se&amp;keywords=waveshare%2Bgripper%2BA&amp;qid=1774198764&amp;sr=8-2-spons&amp;sp_csd=d2lkZ2V0TmFtZT1zcF9hdGY&amp;th=1" TargetMode="External"/><Relationship Id="rId28" Type="http://schemas.openxmlformats.org/officeDocument/2006/relationships/hyperlink" Target="https://www.amazon.com/gp/product/B09VXFCV91?th=1" TargetMode="External"/><Relationship Id="rId10" Type="http://schemas.openxmlformats.org/officeDocument/2006/relationships/hyperlink" Target="https://www.amazon.com/Fastener-Nickel-Plated-Sliding-Aluminum-Profile/dp/B086MKNYDS/ref=sr_1_5?crid=2P6RQ24JJNJ2Q&amp;dib=eyJ2IjoiMSJ9.QUhTohFVWOZ04aQYc1hGKBp0VALDfsG2MjthfxUujqwf-tb8VsBjUhgY7ZY_aIy5NRJtkEaacIoUyqHIJ7Z5HG_yx7jyyCUxVKxNoITi6CyOURRs-q5rug35VnWpP4lwAvly9vnXairSpIRoOV0p0IdowdLHRQiMFbzMKtiK7l6znI5v-f6lwMRuUboDWo4fWbPacfJ5rIv2Q4SUrNAdMr7nvMbfoudLHHx3-ExsDms.EyAZujGnsyYknA4zAwwq-Rfbq6NbZZjx4iqJLF4Rn6Q&amp;dib_tag=se&amp;keywords=amazon+t+nuts&amp;qid=1762398126&amp;sprefix=amazon+t+nuts%2Caps%2C137&amp;sr=8-5" TargetMode="External"/><Relationship Id="rId19" Type="http://schemas.openxmlformats.org/officeDocument/2006/relationships/hyperlink" Target="https://www.amazon.com/Pieces-Modules-Converting-Multiple-Voltages/dp/B0DSZ26LLC/ref=sr_1_3?crid=ESFWCKP6J5WI&amp;dib=eyJ2IjoiMSJ9.OMj7wDoPiMYtJU9mNfDpBuQF-oYkw8HcbQFUZUXYw2PSned3F9kM0swbio6iGlijO6AsPUJxgwypdSHYyyixdkg0OXVt0nfyhjpyRhH8tURqxsP0sjXVGvejqzCaFqY7tzrbqz0E4E-UyozJuCmICVA4GFgHw5EWubmhfgG4OT_kYT1fry9ctkw7jt59FpRUtw298sQjgjto7YeogZDpDC9E9CIEbGqm406NJLbubVY.vmU90URmANQWrJ6lvSyHkjB-oPpgG-DxkKb7SDItZms&amp;dib_tag=se&amp;keywords=DC-DC+Power+modules&amp;qid=1770056732&amp;sprefix=dc-dc+power+module%2Caps%2C139&amp;sr=8-3" TargetMode="External"/><Relationship Id="rId31" Type="http://schemas.openxmlformats.org/officeDocument/2006/relationships/hyperlink" Target="https://www.mcmaster.com/8560K275/" TargetMode="External"/><Relationship Id="rId4" Type="http://schemas.openxmlformats.org/officeDocument/2006/relationships/hyperlink" Target="https://www.amazon.com/Expansion-Development-High-Torque-XYGStudy-RoArm-M2-S/dp/B0DMVD3TB7" TargetMode="External"/><Relationship Id="rId9" Type="http://schemas.openxmlformats.org/officeDocument/2006/relationships/hyperlink" Target="https://www.mcmaster.com/92095A493/" TargetMode="External"/><Relationship Id="rId14" Type="http://schemas.openxmlformats.org/officeDocument/2006/relationships/hyperlink" Target="https://www.mcmaster.com/47065T821" TargetMode="External"/><Relationship Id="rId22" Type="http://schemas.openxmlformats.org/officeDocument/2006/relationships/hyperlink" Target="https://www.amazon.com/SaiDian-4-Axis-Joystick-Potentiometer-JH-D400X-R4/dp/B08CGYGMJL/" TargetMode="External"/><Relationship Id="rId27" Type="http://schemas.openxmlformats.org/officeDocument/2006/relationships/hyperlink" Target="https://www.amazon.com/dp/B0B2DC5LGW/ref=syn_sd_onsite_desktop_0?ie=UTF8&amp;pd_rd_plhdr=t&amp;aref=EsVNXBUcu5&amp;th=1" TargetMode="External"/><Relationship Id="rId30" Type="http://schemas.openxmlformats.org/officeDocument/2006/relationships/hyperlink" Target="https://www.amazon.com/Connimonet-Waterproof-1000-Yard-Machines-Stitching/dp/B0DDTCCWWB" TargetMode="External"/><Relationship Id="rId35" Type="http://schemas.openxmlformats.org/officeDocument/2006/relationships/drawing" Target="../drawings/drawing1.xml"/><Relationship Id="rId8" Type="http://schemas.openxmlformats.org/officeDocument/2006/relationships/hyperlink" Target="https://www.mcmaster.com/97763A814/" TargetMode="Externa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hyperlink" Target="https://jlc3dp.com/3d-printing-quote?from=butto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A8FEBC-8EAD-4A5F-AD10-05FEF2F40BB7}">
  <sheetPr>
    <pageSetUpPr fitToPage="1"/>
  </sheetPr>
  <dimension ref="A1:H43"/>
  <sheetViews>
    <sheetView tabSelected="1" zoomScale="75" zoomScaleNormal="75" workbookViewId="0">
      <pane ySplit="1" topLeftCell="A2" activePane="bottomLeft" state="frozen"/>
      <selection pane="bottomLeft" activeCell="K23" sqref="K23"/>
    </sheetView>
  </sheetViews>
  <sheetFormatPr defaultRowHeight="14.4" x14ac:dyDescent="0.55000000000000004"/>
  <cols>
    <col min="1" max="1" width="42.578125" customWidth="1"/>
    <col min="2" max="2" width="13.578125" customWidth="1"/>
    <col min="3" max="3" width="18.83984375" customWidth="1"/>
    <col min="4" max="4" width="14.26171875" customWidth="1"/>
    <col min="5" max="5" width="13.68359375" customWidth="1"/>
    <col min="6" max="6" width="16" customWidth="1"/>
    <col min="7" max="7" width="19" customWidth="1"/>
  </cols>
  <sheetData>
    <row r="1" spans="1:8" x14ac:dyDescent="0.55000000000000004">
      <c r="A1" s="1" t="s">
        <v>0</v>
      </c>
      <c r="B1" s="1" t="s">
        <v>1</v>
      </c>
      <c r="C1" s="1" t="s">
        <v>2</v>
      </c>
      <c r="D1" s="1" t="s">
        <v>3</v>
      </c>
      <c r="E1" s="5" t="s">
        <v>4</v>
      </c>
      <c r="F1" s="5" t="s">
        <v>5</v>
      </c>
      <c r="G1" s="1" t="s">
        <v>6</v>
      </c>
      <c r="H1" s="1" t="s">
        <v>64</v>
      </c>
    </row>
    <row r="2" spans="1:8" x14ac:dyDescent="0.55000000000000004">
      <c r="A2" s="25" t="s">
        <v>65</v>
      </c>
      <c r="B2" s="25"/>
      <c r="C2" s="25"/>
      <c r="D2" s="25"/>
      <c r="E2" s="26"/>
      <c r="F2" s="26"/>
      <c r="G2" s="25"/>
      <c r="H2" s="1"/>
    </row>
    <row r="3" spans="1:8" x14ac:dyDescent="0.55000000000000004">
      <c r="A3" s="2" t="s">
        <v>7</v>
      </c>
      <c r="B3" s="2" t="s">
        <v>8</v>
      </c>
      <c r="C3" s="14">
        <v>795602422700</v>
      </c>
      <c r="D3" s="2">
        <v>1</v>
      </c>
      <c r="E3" s="6">
        <v>222.99</v>
      </c>
      <c r="F3" s="9">
        <f t="shared" ref="F3:F16" si="0">D3*E3</f>
        <v>222.99</v>
      </c>
      <c r="G3" s="13" t="s">
        <v>9</v>
      </c>
      <c r="H3" s="1" t="s">
        <v>64</v>
      </c>
    </row>
    <row r="4" spans="1:8" x14ac:dyDescent="0.55000000000000004">
      <c r="A4" s="2" t="s">
        <v>10</v>
      </c>
      <c r="B4" s="2" t="s">
        <v>11</v>
      </c>
      <c r="C4" s="2" t="s">
        <v>12</v>
      </c>
      <c r="D4" s="2">
        <v>1</v>
      </c>
      <c r="E4" s="6">
        <v>6.93</v>
      </c>
      <c r="F4" s="9">
        <f t="shared" si="0"/>
        <v>6.93</v>
      </c>
      <c r="G4" s="13" t="s">
        <v>13</v>
      </c>
      <c r="H4" s="1" t="s">
        <v>64</v>
      </c>
    </row>
    <row r="5" spans="1:8" x14ac:dyDescent="0.55000000000000004">
      <c r="A5" s="2" t="s">
        <v>14</v>
      </c>
      <c r="B5" s="2" t="s">
        <v>11</v>
      </c>
      <c r="C5" s="2" t="s">
        <v>15</v>
      </c>
      <c r="D5" s="2">
        <v>1</v>
      </c>
      <c r="E5" s="6">
        <v>5.53</v>
      </c>
      <c r="F5" s="9">
        <f t="shared" si="0"/>
        <v>5.53</v>
      </c>
      <c r="G5" s="13" t="s">
        <v>16</v>
      </c>
      <c r="H5" s="1" t="s">
        <v>64</v>
      </c>
    </row>
    <row r="6" spans="1:8" x14ac:dyDescent="0.55000000000000004">
      <c r="A6" s="2" t="s">
        <v>17</v>
      </c>
      <c r="B6" s="2" t="s">
        <v>11</v>
      </c>
      <c r="C6" s="2" t="s">
        <v>18</v>
      </c>
      <c r="D6" s="2">
        <v>2</v>
      </c>
      <c r="E6" s="6">
        <v>6</v>
      </c>
      <c r="F6" s="9">
        <f t="shared" si="0"/>
        <v>12</v>
      </c>
      <c r="G6" s="13" t="s">
        <v>19</v>
      </c>
      <c r="H6" s="1" t="s">
        <v>64</v>
      </c>
    </row>
    <row r="7" spans="1:8" x14ac:dyDescent="0.55000000000000004">
      <c r="A7" s="2" t="s">
        <v>20</v>
      </c>
      <c r="B7" s="2" t="s">
        <v>11</v>
      </c>
      <c r="C7" s="2" t="s">
        <v>21</v>
      </c>
      <c r="D7" s="2">
        <v>5</v>
      </c>
      <c r="E7" s="6">
        <v>9.7100000000000009</v>
      </c>
      <c r="F7" s="9">
        <f t="shared" si="0"/>
        <v>48.550000000000004</v>
      </c>
      <c r="G7" s="13" t="s">
        <v>22</v>
      </c>
      <c r="H7" s="1" t="s">
        <v>64</v>
      </c>
    </row>
    <row r="8" spans="1:8" x14ac:dyDescent="0.55000000000000004">
      <c r="A8" s="2" t="s">
        <v>23</v>
      </c>
      <c r="B8" s="2" t="s">
        <v>11</v>
      </c>
      <c r="C8" s="2" t="s">
        <v>24</v>
      </c>
      <c r="D8" s="2">
        <v>1</v>
      </c>
      <c r="E8" s="6">
        <v>2.81</v>
      </c>
      <c r="F8" s="9">
        <f t="shared" si="0"/>
        <v>2.81</v>
      </c>
      <c r="G8" s="13" t="s">
        <v>25</v>
      </c>
      <c r="H8" s="1" t="s">
        <v>64</v>
      </c>
    </row>
    <row r="9" spans="1:8" x14ac:dyDescent="0.55000000000000004">
      <c r="A9" s="2" t="s">
        <v>26</v>
      </c>
      <c r="B9" s="2" t="s">
        <v>11</v>
      </c>
      <c r="C9" s="2" t="s">
        <v>27</v>
      </c>
      <c r="D9" s="2">
        <v>2</v>
      </c>
      <c r="E9" s="6">
        <v>7</v>
      </c>
      <c r="F9" s="9">
        <f t="shared" si="0"/>
        <v>14</v>
      </c>
      <c r="G9" s="13" t="s">
        <v>28</v>
      </c>
      <c r="H9" s="1" t="s">
        <v>64</v>
      </c>
    </row>
    <row r="10" spans="1:8" x14ac:dyDescent="0.55000000000000004">
      <c r="A10" s="2" t="s">
        <v>29</v>
      </c>
      <c r="B10" s="2" t="s">
        <v>11</v>
      </c>
      <c r="C10" s="2" t="s">
        <v>30</v>
      </c>
      <c r="D10" s="2">
        <v>1</v>
      </c>
      <c r="E10" s="6">
        <v>6.35</v>
      </c>
      <c r="F10" s="9">
        <f t="shared" si="0"/>
        <v>6.35</v>
      </c>
      <c r="G10" s="13" t="s">
        <v>31</v>
      </c>
      <c r="H10" s="1" t="s">
        <v>64</v>
      </c>
    </row>
    <row r="11" spans="1:8" x14ac:dyDescent="0.55000000000000004">
      <c r="A11" s="2" t="s">
        <v>32</v>
      </c>
      <c r="B11" s="2" t="s">
        <v>8</v>
      </c>
      <c r="C11" s="2" t="s">
        <v>33</v>
      </c>
      <c r="D11" s="2">
        <v>1</v>
      </c>
      <c r="E11" s="6">
        <v>8.2799999999999994</v>
      </c>
      <c r="F11" s="9">
        <f t="shared" si="0"/>
        <v>8.2799999999999994</v>
      </c>
      <c r="G11" s="13" t="s">
        <v>34</v>
      </c>
      <c r="H11" s="1" t="s">
        <v>64</v>
      </c>
    </row>
    <row r="12" spans="1:8" x14ac:dyDescent="0.55000000000000004">
      <c r="A12" s="2" t="s">
        <v>35</v>
      </c>
      <c r="B12" s="2" t="s">
        <v>11</v>
      </c>
      <c r="C12" s="2" t="s">
        <v>36</v>
      </c>
      <c r="D12" s="2">
        <v>1</v>
      </c>
      <c r="E12" s="6">
        <v>16.329999999999998</v>
      </c>
      <c r="F12" s="9">
        <f t="shared" si="0"/>
        <v>16.329999999999998</v>
      </c>
      <c r="G12" s="13" t="s">
        <v>37</v>
      </c>
      <c r="H12" s="1" t="s">
        <v>64</v>
      </c>
    </row>
    <row r="13" spans="1:8" x14ac:dyDescent="0.55000000000000004">
      <c r="A13" s="2" t="s">
        <v>66</v>
      </c>
      <c r="B13" s="2" t="s">
        <v>8</v>
      </c>
      <c r="C13" s="2" t="s">
        <v>41</v>
      </c>
      <c r="D13" s="2">
        <v>1</v>
      </c>
      <c r="E13" s="6">
        <v>18.89</v>
      </c>
      <c r="F13" s="9">
        <f t="shared" si="0"/>
        <v>18.89</v>
      </c>
      <c r="G13" s="13" t="s">
        <v>42</v>
      </c>
      <c r="H13" s="1" t="s">
        <v>64</v>
      </c>
    </row>
    <row r="14" spans="1:8" x14ac:dyDescent="0.55000000000000004">
      <c r="A14" s="2" t="s">
        <v>67</v>
      </c>
      <c r="B14" s="2" t="s">
        <v>8</v>
      </c>
      <c r="C14" s="2" t="s">
        <v>68</v>
      </c>
      <c r="D14" s="2">
        <v>1</v>
      </c>
      <c r="E14" s="6">
        <v>5.94</v>
      </c>
      <c r="F14" s="9">
        <f t="shared" si="0"/>
        <v>5.94</v>
      </c>
      <c r="G14" s="13" t="s">
        <v>69</v>
      </c>
      <c r="H14" s="1" t="s">
        <v>64</v>
      </c>
    </row>
    <row r="15" spans="1:8" x14ac:dyDescent="0.55000000000000004">
      <c r="A15" s="2" t="s">
        <v>38</v>
      </c>
      <c r="B15" s="2" t="s">
        <v>8</v>
      </c>
      <c r="C15" s="2" t="s">
        <v>39</v>
      </c>
      <c r="D15" s="2">
        <v>1</v>
      </c>
      <c r="E15" s="6">
        <v>64.989999999999995</v>
      </c>
      <c r="F15" s="9">
        <f t="shared" si="0"/>
        <v>64.989999999999995</v>
      </c>
      <c r="G15" s="13" t="s">
        <v>40</v>
      </c>
      <c r="H15" s="1" t="s">
        <v>64</v>
      </c>
    </row>
    <row r="16" spans="1:8" x14ac:dyDescent="0.55000000000000004">
      <c r="A16" s="2" t="s">
        <v>70</v>
      </c>
      <c r="B16" s="2" t="s">
        <v>11</v>
      </c>
      <c r="C16" s="2" t="s">
        <v>71</v>
      </c>
      <c r="D16" s="2">
        <v>2</v>
      </c>
      <c r="E16" s="6">
        <v>6.95</v>
      </c>
      <c r="F16" s="9">
        <f t="shared" si="0"/>
        <v>13.9</v>
      </c>
      <c r="G16" s="13" t="s">
        <v>72</v>
      </c>
      <c r="H16" s="1" t="s">
        <v>64</v>
      </c>
    </row>
    <row r="17" spans="1:8" x14ac:dyDescent="0.55000000000000004">
      <c r="A17" s="2"/>
      <c r="B17" s="2"/>
      <c r="C17" s="2"/>
      <c r="D17" s="2"/>
      <c r="E17" s="6"/>
      <c r="F17" s="9"/>
      <c r="G17" s="13"/>
      <c r="H17" s="1" t="s">
        <v>64</v>
      </c>
    </row>
    <row r="18" spans="1:8" x14ac:dyDescent="0.55000000000000004">
      <c r="A18" s="46" t="s">
        <v>73</v>
      </c>
      <c r="B18" s="41"/>
      <c r="C18" s="41"/>
      <c r="D18" s="41"/>
      <c r="E18" s="42"/>
      <c r="F18" s="43"/>
      <c r="G18" s="44"/>
      <c r="H18" s="1" t="s">
        <v>64</v>
      </c>
    </row>
    <row r="19" spans="1:8" x14ac:dyDescent="0.55000000000000004">
      <c r="A19" s="41" t="s">
        <v>74</v>
      </c>
      <c r="B19" s="41" t="s">
        <v>43</v>
      </c>
      <c r="C19" s="41"/>
      <c r="D19" s="41">
        <v>1</v>
      </c>
      <c r="E19" s="42">
        <v>870</v>
      </c>
      <c r="F19" s="43">
        <f>D19*E19</f>
        <v>870</v>
      </c>
      <c r="G19" s="45" t="s">
        <v>44</v>
      </c>
      <c r="H19" s="1" t="s">
        <v>64</v>
      </c>
    </row>
    <row r="20" spans="1:8" x14ac:dyDescent="0.55000000000000004">
      <c r="A20" s="18" t="s">
        <v>75</v>
      </c>
      <c r="B20" s="3"/>
      <c r="C20" s="3"/>
      <c r="D20" s="3"/>
      <c r="E20" s="7"/>
      <c r="F20" s="10"/>
      <c r="G20" s="23"/>
      <c r="H20" s="1" t="s">
        <v>64</v>
      </c>
    </row>
    <row r="21" spans="1:8" x14ac:dyDescent="0.55000000000000004">
      <c r="A21" s="3" t="s">
        <v>45</v>
      </c>
      <c r="B21" s="3" t="s">
        <v>46</v>
      </c>
      <c r="C21" s="3">
        <v>5400</v>
      </c>
      <c r="D21" s="3">
        <v>1</v>
      </c>
      <c r="E21" s="7">
        <v>19.95</v>
      </c>
      <c r="F21" s="10">
        <f t="shared" ref="F21:F31" si="1">D21*E21</f>
        <v>19.95</v>
      </c>
      <c r="G21" s="12" t="s">
        <v>47</v>
      </c>
      <c r="H21" s="1" t="s">
        <v>64</v>
      </c>
    </row>
    <row r="22" spans="1:8" x14ac:dyDescent="0.55000000000000004">
      <c r="A22" s="3" t="s">
        <v>48</v>
      </c>
      <c r="B22" s="3" t="s">
        <v>46</v>
      </c>
      <c r="C22" s="3">
        <v>5858</v>
      </c>
      <c r="D22" s="3">
        <v>1</v>
      </c>
      <c r="E22" s="7">
        <v>14.95</v>
      </c>
      <c r="F22" s="10">
        <f t="shared" si="1"/>
        <v>14.95</v>
      </c>
      <c r="G22" s="12" t="s">
        <v>49</v>
      </c>
      <c r="H22" s="1" t="s">
        <v>64</v>
      </c>
    </row>
    <row r="23" spans="1:8" x14ac:dyDescent="0.55000000000000004">
      <c r="A23" s="3" t="s">
        <v>76</v>
      </c>
      <c r="B23" s="3" t="s">
        <v>8</v>
      </c>
      <c r="C23" s="19" t="s">
        <v>61</v>
      </c>
      <c r="D23" s="3">
        <v>1</v>
      </c>
      <c r="E23" s="7">
        <v>8.27</v>
      </c>
      <c r="F23" s="10">
        <f t="shared" si="1"/>
        <v>8.27</v>
      </c>
      <c r="G23" s="23" t="s">
        <v>77</v>
      </c>
      <c r="H23" s="1" t="s">
        <v>64</v>
      </c>
    </row>
    <row r="24" spans="1:8" x14ac:dyDescent="0.55000000000000004">
      <c r="A24" s="3" t="s">
        <v>78</v>
      </c>
      <c r="B24" s="3" t="s">
        <v>8</v>
      </c>
      <c r="C24" s="19" t="s">
        <v>79</v>
      </c>
      <c r="D24" s="3">
        <v>1</v>
      </c>
      <c r="E24" s="7">
        <v>7.99</v>
      </c>
      <c r="F24" s="10">
        <f t="shared" si="1"/>
        <v>7.99</v>
      </c>
      <c r="G24" s="23" t="s">
        <v>80</v>
      </c>
      <c r="H24" s="1" t="s">
        <v>64</v>
      </c>
    </row>
    <row r="25" spans="1:8" x14ac:dyDescent="0.55000000000000004">
      <c r="A25" s="3" t="s">
        <v>50</v>
      </c>
      <c r="B25" s="3" t="s">
        <v>51</v>
      </c>
      <c r="C25" s="3"/>
      <c r="D25" s="3">
        <v>1</v>
      </c>
      <c r="E25" s="7">
        <v>48.3</v>
      </c>
      <c r="F25" s="10">
        <f t="shared" si="1"/>
        <v>48.3</v>
      </c>
      <c r="G25" s="12" t="s">
        <v>52</v>
      </c>
      <c r="H25" s="1" t="s">
        <v>64</v>
      </c>
    </row>
    <row r="26" spans="1:8" x14ac:dyDescent="0.55000000000000004">
      <c r="A26" s="3" t="s">
        <v>81</v>
      </c>
      <c r="B26" s="3" t="s">
        <v>8</v>
      </c>
      <c r="C26" s="3" t="s">
        <v>82</v>
      </c>
      <c r="D26" s="3">
        <v>4</v>
      </c>
      <c r="E26" s="7">
        <v>3.95</v>
      </c>
      <c r="F26" s="10">
        <f t="shared" si="1"/>
        <v>15.8</v>
      </c>
      <c r="G26" s="12" t="s">
        <v>83</v>
      </c>
      <c r="H26" s="1" t="s">
        <v>64</v>
      </c>
    </row>
    <row r="27" spans="1:8" x14ac:dyDescent="0.55000000000000004">
      <c r="A27" s="3" t="s">
        <v>54</v>
      </c>
      <c r="B27" s="3" t="s">
        <v>84</v>
      </c>
      <c r="C27" s="3" t="s">
        <v>85</v>
      </c>
      <c r="D27" s="3">
        <v>1</v>
      </c>
      <c r="E27" s="7">
        <v>15.95</v>
      </c>
      <c r="F27" s="10">
        <f t="shared" si="1"/>
        <v>15.95</v>
      </c>
      <c r="G27" s="12" t="s">
        <v>86</v>
      </c>
      <c r="H27" s="1" t="s">
        <v>64</v>
      </c>
    </row>
    <row r="28" spans="1:8" x14ac:dyDescent="0.55000000000000004">
      <c r="A28" s="3" t="s">
        <v>87</v>
      </c>
      <c r="B28" s="3" t="s">
        <v>8</v>
      </c>
      <c r="C28" s="3" t="s">
        <v>88</v>
      </c>
      <c r="D28" s="3">
        <v>1</v>
      </c>
      <c r="E28" s="7">
        <v>101.1</v>
      </c>
      <c r="F28" s="10">
        <f t="shared" si="1"/>
        <v>101.1</v>
      </c>
      <c r="G28" s="12" t="s">
        <v>89</v>
      </c>
      <c r="H28" s="1" t="s">
        <v>64</v>
      </c>
    </row>
    <row r="29" spans="1:8" x14ac:dyDescent="0.55000000000000004">
      <c r="A29" s="3" t="s">
        <v>90</v>
      </c>
      <c r="B29" s="3" t="s">
        <v>8</v>
      </c>
      <c r="C29" s="3" t="s">
        <v>55</v>
      </c>
      <c r="D29" s="3">
        <v>1</v>
      </c>
      <c r="E29" s="7">
        <v>114.56</v>
      </c>
      <c r="F29" s="10">
        <f t="shared" si="1"/>
        <v>114.56</v>
      </c>
      <c r="G29" s="12" t="s">
        <v>56</v>
      </c>
      <c r="H29" s="1" t="s">
        <v>64</v>
      </c>
    </row>
    <row r="30" spans="1:8" x14ac:dyDescent="0.55000000000000004">
      <c r="A30" s="3" t="s">
        <v>91</v>
      </c>
      <c r="B30" s="3" t="s">
        <v>8</v>
      </c>
      <c r="C30" s="3" t="s">
        <v>92</v>
      </c>
      <c r="D30" s="3">
        <v>1</v>
      </c>
      <c r="E30" s="7">
        <v>20.99</v>
      </c>
      <c r="F30" s="10">
        <f t="shared" si="1"/>
        <v>20.99</v>
      </c>
      <c r="G30" s="12" t="s">
        <v>60</v>
      </c>
      <c r="H30" s="1" t="s">
        <v>64</v>
      </c>
    </row>
    <row r="31" spans="1:8" x14ac:dyDescent="0.55000000000000004">
      <c r="A31" s="3" t="s">
        <v>93</v>
      </c>
      <c r="B31" s="3" t="s">
        <v>8</v>
      </c>
      <c r="C31" s="3" t="s">
        <v>94</v>
      </c>
      <c r="D31" s="3">
        <v>1</v>
      </c>
      <c r="E31" s="7">
        <v>11.99</v>
      </c>
      <c r="F31" s="10">
        <f t="shared" si="1"/>
        <v>11.99</v>
      </c>
      <c r="G31" s="12" t="s">
        <v>95</v>
      </c>
      <c r="H31" s="1" t="s">
        <v>64</v>
      </c>
    </row>
    <row r="32" spans="1:8" x14ac:dyDescent="0.55000000000000004">
      <c r="A32" s="3" t="s">
        <v>96</v>
      </c>
      <c r="B32" s="3" t="s">
        <v>8</v>
      </c>
      <c r="C32" s="3" t="s">
        <v>97</v>
      </c>
      <c r="D32" s="3">
        <v>1</v>
      </c>
      <c r="E32" s="7">
        <v>8.39</v>
      </c>
      <c r="F32" s="10"/>
      <c r="G32" s="12" t="s">
        <v>98</v>
      </c>
      <c r="H32" s="1" t="s">
        <v>64</v>
      </c>
    </row>
    <row r="33" spans="1:8" x14ac:dyDescent="0.55000000000000004">
      <c r="A33" s="3" t="s">
        <v>57</v>
      </c>
      <c r="B33" s="3" t="s">
        <v>8</v>
      </c>
      <c r="C33" s="3" t="s">
        <v>58</v>
      </c>
      <c r="D33" s="3">
        <v>1</v>
      </c>
      <c r="E33" s="7">
        <v>11</v>
      </c>
      <c r="F33" s="10">
        <f>D33*E33</f>
        <v>11</v>
      </c>
      <c r="G33" s="12" t="s">
        <v>59</v>
      </c>
      <c r="H33" s="1" t="s">
        <v>64</v>
      </c>
    </row>
    <row r="34" spans="1:8" x14ac:dyDescent="0.55000000000000004">
      <c r="A34" s="3" t="s">
        <v>99</v>
      </c>
      <c r="B34" s="3" t="s">
        <v>8</v>
      </c>
      <c r="C34" s="3" t="s">
        <v>100</v>
      </c>
      <c r="D34" s="3">
        <v>1</v>
      </c>
      <c r="E34" s="7">
        <v>5.99</v>
      </c>
      <c r="F34" s="10">
        <f>D34*E34</f>
        <v>5.99</v>
      </c>
      <c r="G34" s="12" t="s">
        <v>101</v>
      </c>
      <c r="H34" s="1" t="s">
        <v>64</v>
      </c>
    </row>
    <row r="35" spans="1:8" x14ac:dyDescent="0.55000000000000004">
      <c r="A35" s="3" t="s">
        <v>102</v>
      </c>
      <c r="B35" s="3" t="s">
        <v>8</v>
      </c>
      <c r="C35" s="3" t="s">
        <v>103</v>
      </c>
      <c r="D35" s="3">
        <v>1</v>
      </c>
      <c r="E35" s="7">
        <v>11.89</v>
      </c>
      <c r="F35" s="10">
        <f>D35*E35</f>
        <v>11.89</v>
      </c>
      <c r="G35" s="12" t="s">
        <v>104</v>
      </c>
      <c r="H35" s="1" t="s">
        <v>64</v>
      </c>
    </row>
    <row r="36" spans="1:8" x14ac:dyDescent="0.55000000000000004">
      <c r="A36" s="3"/>
      <c r="B36" s="3"/>
      <c r="C36" s="3"/>
      <c r="D36" s="3"/>
      <c r="E36" s="7"/>
      <c r="F36" s="10"/>
      <c r="G36" s="12"/>
      <c r="H36" s="1"/>
    </row>
    <row r="37" spans="1:8" x14ac:dyDescent="0.55000000000000004">
      <c r="A37" s="24" t="s">
        <v>105</v>
      </c>
      <c r="B37" s="4"/>
      <c r="C37" s="4"/>
      <c r="D37" s="4"/>
      <c r="E37" s="8"/>
      <c r="F37" s="11">
        <f>D37*E37</f>
        <v>0</v>
      </c>
      <c r="G37" s="21"/>
      <c r="H37" s="1" t="s">
        <v>64</v>
      </c>
    </row>
    <row r="38" spans="1:8" x14ac:dyDescent="0.55000000000000004">
      <c r="A38" s="22" t="s">
        <v>106</v>
      </c>
      <c r="B38" s="4"/>
      <c r="C38" s="20" t="s">
        <v>107</v>
      </c>
      <c r="D38" s="4">
        <v>2</v>
      </c>
      <c r="E38" s="11">
        <v>13.99</v>
      </c>
      <c r="F38" s="11">
        <f>D38*E38</f>
        <v>27.98</v>
      </c>
      <c r="G38" s="21" t="s">
        <v>108</v>
      </c>
      <c r="H38" s="1" t="s">
        <v>64</v>
      </c>
    </row>
    <row r="39" spans="1:8" x14ac:dyDescent="0.55000000000000004">
      <c r="A39" s="22" t="s">
        <v>109</v>
      </c>
      <c r="B39" s="4"/>
      <c r="C39" s="20" t="s">
        <v>110</v>
      </c>
      <c r="D39" s="4">
        <v>1</v>
      </c>
      <c r="E39" s="11">
        <v>11.95</v>
      </c>
      <c r="F39" s="11">
        <f t="shared" ref="F39" si="2">D39*E39</f>
        <v>11.95</v>
      </c>
      <c r="G39" s="21" t="s">
        <v>111</v>
      </c>
      <c r="H39" s="1" t="s">
        <v>64</v>
      </c>
    </row>
    <row r="40" spans="1:8" x14ac:dyDescent="0.55000000000000004">
      <c r="A40" s="22" t="s">
        <v>112</v>
      </c>
      <c r="B40" s="4"/>
      <c r="C40" s="20" t="s">
        <v>113</v>
      </c>
      <c r="D40" s="4">
        <v>1</v>
      </c>
      <c r="E40" s="11">
        <v>13.49</v>
      </c>
      <c r="F40" s="11">
        <f>D40*E40</f>
        <v>13.49</v>
      </c>
      <c r="G40" s="21" t="s">
        <v>114</v>
      </c>
      <c r="H40" s="1" t="s">
        <v>64</v>
      </c>
    </row>
    <row r="41" spans="1:8" x14ac:dyDescent="0.55000000000000004">
      <c r="A41" s="22" t="s">
        <v>115</v>
      </c>
      <c r="B41" s="4"/>
      <c r="C41" s="20" t="s">
        <v>116</v>
      </c>
      <c r="D41" s="4">
        <v>1</v>
      </c>
      <c r="E41" s="11">
        <v>8.49</v>
      </c>
      <c r="F41" s="11">
        <v>8.49</v>
      </c>
      <c r="G41" s="21" t="s">
        <v>117</v>
      </c>
      <c r="H41" s="1" t="s">
        <v>64</v>
      </c>
    </row>
    <row r="42" spans="1:8" x14ac:dyDescent="0.55000000000000004">
      <c r="A42" s="22" t="s">
        <v>118</v>
      </c>
      <c r="B42" s="4"/>
      <c r="C42" s="20" t="s">
        <v>119</v>
      </c>
      <c r="D42" s="4">
        <v>1</v>
      </c>
      <c r="E42" s="11">
        <v>11.88</v>
      </c>
      <c r="F42" s="11">
        <v>11.88</v>
      </c>
      <c r="G42" s="21" t="s">
        <v>120</v>
      </c>
      <c r="H42" s="1" t="s">
        <v>64</v>
      </c>
    </row>
    <row r="43" spans="1:8" x14ac:dyDescent="0.55000000000000004">
      <c r="A43" s="15" t="s">
        <v>5</v>
      </c>
      <c r="B43" s="15"/>
      <c r="C43" s="15"/>
      <c r="D43" s="15"/>
      <c r="E43" s="16"/>
      <c r="F43" s="16">
        <f>SUM(F3:F42)</f>
        <v>1800.0100000000002</v>
      </c>
      <c r="G43" s="15"/>
      <c r="H43" s="1" t="s">
        <v>64</v>
      </c>
    </row>
  </sheetData>
  <hyperlinks>
    <hyperlink ref="G21" r:id="rId1" xr:uid="{679FC422-ADAC-49B6-B1D2-6797B25FC4FA}"/>
    <hyperlink ref="G22" r:id="rId2" xr:uid="{FA34D12D-C07F-4B5F-8597-EC689B206BC8}"/>
    <hyperlink ref="G25" r:id="rId3" xr:uid="{B37F1231-429B-43AE-A62F-C1768A130145}"/>
    <hyperlink ref="G3" r:id="rId4" xr:uid="{CEA1BAD6-8174-4DCE-9F05-C28A2CC98C1C}"/>
    <hyperlink ref="G6" r:id="rId5" xr:uid="{D27F4863-69FF-4520-8F0F-4BE5C60E07FB}"/>
    <hyperlink ref="G7" r:id="rId6" xr:uid="{8907BFF2-9EFA-4A3D-ADFF-8EB41DB71DCC}"/>
    <hyperlink ref="G8" r:id="rId7" xr:uid="{9FDFDAE7-0125-45C5-AC6D-9EB7C5A88524}"/>
    <hyperlink ref="G9" r:id="rId8" xr:uid="{6A4652AF-539B-4E1E-80B0-BE599FC0FA7A}"/>
    <hyperlink ref="G10" r:id="rId9" xr:uid="{F2221A74-8149-4982-8850-4A34255212A9}"/>
    <hyperlink ref="G11" r:id="rId10" display="https://www.amazon.com/Fastener-Nickel-Plated-Sliding-Aluminum-Profile/dp/B086MKNYDS/ref=sr_1_5?crid=2P6RQ24JJNJ2Q&amp;dib=eyJ2IjoiMSJ9.QUhTohFVWOZ04aQYc1hGKBp0VALDfsG2MjthfxUujqwf-tb8VsBjUhgY7ZY_aIy5NRJtkEaacIoUyqHIJ7Z5HG_yx7jyyCUxVKxNoITi6CyOURRs-q5rug35VnWpP4lwAvly9vnXairSpIRoOV0p0IdowdLHRQiMFbzMKtiK7l6znI5v-f6lwMRuUboDWo4fWbPacfJ5rIv2Q4SUrNAdMr7nvMbfoudLHHx3-ExsDms.EyAZujGnsyYknA4zAwwq-Rfbq6NbZZjx4iqJLF4Rn6Q&amp;dib_tag=se&amp;keywords=amazon+t+nuts&amp;qid=1762398126&amp;sprefix=amazon+t+nuts%2Caps%2C137&amp;sr=8-5" xr:uid="{91AA3E10-DE80-4BCC-96F6-E54387976687}"/>
    <hyperlink ref="G12" r:id="rId11" xr:uid="{F25E6801-9E50-48E7-A55B-EA9A08F028A9}"/>
    <hyperlink ref="G15" r:id="rId12" display="https://www.amazon.com/waveshare-High-performance-Closed-loop-Real-time-Protection-Adjustable/dp/B0DY14MXG5/ref=sr_1_1?crid=2LXRRVQIWYC5C&amp;dib=eyJ2IjoiMSJ9.XQVk-GysUtu1R7E3jXtr0TPZLMVJQr-77ol-TSKQ6kxB1UFpvxRIPynHoIl5tE53LZDkbVWIdqU7JkGvxUpTm4iQnr3qkIF2HGcmvBRt5p4._p5XxmzUC5L0voDjVDtmH3G1DQ40XeCVjzMCmp_jS_0&amp;dib_tag=se&amp;keywords=waveshare+gripper+A&amp;qid=1762827157&amp;sprefix=waveshare+gripper+a%2Caps%2C160&amp;sr=8-1" xr:uid="{11D44CD1-0A5F-4691-A543-EFFEA55A4574}"/>
    <hyperlink ref="G29" r:id="rId13" xr:uid="{6D6A89C7-F340-4856-AE54-0F041554DC68}"/>
    <hyperlink ref="G4" r:id="rId14" xr:uid="{1C0B86C8-7632-4E64-9829-06C73F338E5C}"/>
    <hyperlink ref="G5" r:id="rId15" xr:uid="{EA52DD53-16F8-45F0-B7B8-96C138833959}"/>
    <hyperlink ref="G27" r:id="rId16" xr:uid="{B21C73D3-6D97-47EE-8101-74B2160963E8}"/>
    <hyperlink ref="G19" r:id="rId17" xr:uid="{6BB22179-B467-4DB6-8284-44B214998FBA}"/>
    <hyperlink ref="G24" r:id="rId18" display="https://www.amazon.com/SinLoon-Adapter-Wireless-Soldering-XT-021/dp/B0DHWTZM83/ref=sr_1_10?crid=2LWFM9OWYH7RY&amp;dib=eyJ2IjoiMSJ9.SHxX2P3dfShOOT2ljGFf1SiOHA6pDDzPoWjq_Mp4AhYSopGvik2nooHnlzZAdgaVfWh9RCPA25oU1Qn0A7-_KD43qVIWzXCUoqJICKPAQe51nfrzNsezK5v56j0xeruteF4E4CWT8sLBCEVvGTxkluDx1zEAKSSym29ARTNrGOMxFqUGk9D3VPg_nYkXuKj817lxyl4LgCeesyfPDBR-XxSr9Qjb60Sg_wPaRbh1Kro.KqLxB1k7vTfcZcyKch226wym8oQpg4xjIuweYDUlTb4&amp;dib_tag=se&amp;keywords=xt60%2Bto%2Bdc5521%2Badapter&amp;qid=1770056912&amp;sprefix=XT60%2Bto%2BDC%2Caps%2C138&amp;sr=8-10&amp;th=1" xr:uid="{CA946439-9162-48AF-B301-670A193D8DC9}"/>
    <hyperlink ref="G23" r:id="rId19" display="https://www.amazon.com/Pieces-Modules-Converting-Multiple-Voltages/dp/B0DSZ26LLC/ref=sr_1_3?crid=ESFWCKP6J5WI&amp;dib=eyJ2IjoiMSJ9.OMj7wDoPiMYtJU9mNfDpBuQF-oYkw8HcbQFUZUXYw2PSned3F9kM0swbio6iGlijO6AsPUJxgwypdSHYyyixdkg0OXVt0nfyhjpyRhH8tURqxsP0sjXVGvejqzCaFqY7tzrbqz0E4E-UyozJuCmICVA4GFgHw5EWubmhfgG4OT_kYT1fry9ctkw7jt59FpRUtw298sQjgjto7YeogZDpDC9E9CIEbGqm406NJLbubVY.vmU90URmANQWrJ6lvSyHkjB-oPpgG-DxkKb7SDItZms&amp;dib_tag=se&amp;keywords=DC-DC+Power+modules&amp;qid=1770056732&amp;sprefix=dc-dc+power+module%2Caps%2C139&amp;sr=8-3" xr:uid="{744AA878-E8A3-4DE9-B586-43CD21A3B679}"/>
    <hyperlink ref="G30" r:id="rId20" display="https://www.amazon.com/Hosyond-320x480-Capacitive-Display-Mega2560/dp/B0CRGQN58D/ref=sr_1_1?crid=33A17FSUQVH1K&amp;dib=eyJ2IjoiMSJ9.md2KqkoJtP99SSw8IL89B_zmJRlq_835Nm7Fn7o62nmdBSn6SxW0FYbSIeCRKOKp4A8J7ySSzezeyvRxJTk60WiqE0D80pzNuezRvvV9MH0wfgOdxxVquKS4Go7H9ZIq8qSL3cR8f_bwaXxrBk6TimpcHRq-sIDSnzoSPz8Q0Ix2u-cp9mr2oFVepVCEUHuENywOn4QcDeircmj-jbLeoCBrmAxe36c5Xs3lcL_61yU.s9oX8vXHI7oMfCmVK_N0IjCQrrICVz7chaW4Gnfo4Eo&amp;dib_tag=se&amp;keywords=screen%2Bled%2Bdisplay%2B4%2Binches%2Barduino&amp;qid=1769030753&amp;sprefix=screen%2Bled%2Bdisplay%2B4%2Binches%2Barduino%2Caps%2C89&amp;sr=8-1&amp;th=1" xr:uid="{7AE7711C-80DC-400D-9754-566757D5F8A9}"/>
    <hyperlink ref="G33" r:id="rId21" display="https://www.amazon.com/EG-STARTS-Illuminated-Joystick-Raspberry/dp/B01LXZSV2N/ref=sr_1_2?crid=3DJ5QYDZQZZEC&amp;dib=eyJ2IjoiMSJ9.fj6L7tSNKth1BFLe-kY605MLNtaJrKYpK714qI6wiD_I5B8F0ma6vIOCZzYO5RzRe7c_6NB572NwxYJt5BtvcqhgKW0xTn7jYEElubO5ZUjZUS0g4QVZKq47HKF68Ko_-pOV997n9Nr6sbUjCZeH_WrxWKdG5ociYSfSpuz90Vlpn-m9jFSjWbeJCneA81uIGHsCet6TZ3lBCWDji5IKgMHvy6ft3s-lipHCibGxyBE.Y-LNVXE5XcNKxPc3AqrueFL5tqEmhM7Dg5Gzlxku5Kk&amp;dib_tag=se&amp;keywords=arcade+light+buttons&amp;qid=1769031553&amp;s=videogames&amp;sprefix=arcade+light+buttons%2Cvideogames%2C99&amp;sr=1-2" xr:uid="{38E7644A-4502-425B-8C98-8362E49DA716}"/>
    <hyperlink ref="G13" r:id="rId22" xr:uid="{D25A59BF-3A13-40AB-9608-20C0FA49203B}"/>
    <hyperlink ref="G28" r:id="rId23" display="https://www.amazon.com/SHARGEEK-Portable-Charger-Display-Waterproof/dp/B0D2VWVPRX/ref=sr_1_2_sspa?dib=eyJ2IjoiMSJ9._JC3xjt-TGE2RQShiI57UHyT-4mykInAGg2WUCWcDZjko58Q3CEvc_8nAlrNBNtk4xWGvuya19KJXtdUllnkXx2XFz8QpteFKBW6mEi6uKPq9oC9ZchsaRT7Fw2H0SEHLgQ8TMH4vaYq90LCMinzLXobpkR8RnvJ86tGlWkXaJgCZdfK7hqGojFaRY8_RGHjcR8w4iX4hNx2R72gHuTIxQmW4UHIMqcSEi0eXDWhCP8.z4hTZFRnYaUI4CNYl0LjA_M5dI7WCyrlmiqHIHsOojc&amp;dib_tag=se&amp;keywords=waveshare%2Bgripper%2BA&amp;qid=1774198764&amp;sr=8-2-spons&amp;sp_csd=d2lkZ2V0TmFtZT1zcF9hdGY&amp;th=1" xr:uid="{D6CD22F2-1AD7-483F-B885-9FB88DDCADA3}"/>
    <hyperlink ref="G38" r:id="rId24" xr:uid="{AA843340-8F3D-4A6B-96D4-30B67FFA4FC7}"/>
    <hyperlink ref="G40" r:id="rId25" xr:uid="{1372126D-44A9-460E-A6AF-C11F63C38E98}"/>
    <hyperlink ref="G26" r:id="rId26" display="https://www.amazon.com/Adafruit-Short-Feather-Headers-Kit/dp/B01GQFV13C/ref=sr_1_10?dib=eyJ2IjoiMSJ9.xUVg79aXuQm4zTfGo_qm1IRbuSmxUXaF2Kid7H5BuWFiyg4eC6HMRpSn3sr6mHW9t-Xn_roPBd1UDfOowr_U7NCyJq29AhCStu2YotpeTdOR6MTKK5DeMDO71cx4H9B1cCTUBZn_eA0qNWGCPyUq3Pe--AY_tpsuQeExsgeZ-J2HKidaxba-GvfkiFMSGWGUGOMMFSGddPO18XqDPjBv5zm7B-duX-mWNhMyI4C6Ntk.oxUq4GvhpMHHZjDwSyyXGyqeV0zQerwdQhfSGCeHKrY&amp;dib_tag=se&amp;keywords=Adafruit+Feather&amp;qid=1775686796&amp;sr=8-10" xr:uid="{097C1DA5-0A93-4FE5-A67F-C6646C525B78}"/>
    <hyperlink ref="G31" r:id="rId27" xr:uid="{46EFAD8F-097C-41DF-B9F3-05A09AADBCDC}"/>
    <hyperlink ref="G39" r:id="rId28" xr:uid="{82EF42E3-8410-4E06-A9DD-106363E66B9E}"/>
    <hyperlink ref="G41" r:id="rId29" xr:uid="{7CA224D6-6C3D-4058-804E-E3478B8F3100}"/>
    <hyperlink ref="G42" r:id="rId30" xr:uid="{167A1738-79AE-454C-9611-77B39CA412B4}"/>
    <hyperlink ref="G16" r:id="rId31" xr:uid="{05347218-259C-481A-A4ED-4B055B040811}"/>
    <hyperlink ref="G14" r:id="rId32" display="https://www.amazon.com/NITRO4X4-Stainless-Steel-Hose-Clamps/dp/B0DRHKN6ZK/ref=mp_s_a_1_3?crid=IL6Z0SNAT3DN&amp;dib=eyJ2IjoiMSJ9.D8m9G_hPev0Rxd83pR6reFxvZhgLLpsNaE6j4fK6qkI0f383oC0TovivInDB9BmT3bMpCtWA0gcF3xmIkhEhk7l64gQ8xCWNpKQ874aTdbPhPpK5f_uvM-JbeEnhkC9_-sFjo_wuXzTJsKC9EtdhqjKBQa63b-4TA-DHIS11sTQJ-JGjroGZgj_yXYWX9rYebmsKEOpfdblrC8frX9QgGw.zjlg1tfyBoUSGxkOysLL-MBJPkoxdvB_jiYOHppUnd0&amp;dib_tag=se&amp;keywords=1.75%2Binch%2Bhose%2Bclamp&amp;qid=1776174080&amp;s=industrial&amp;sprefix=1.75%2Binch%2Bhose%2Bclamp%2Cindustrial%2C148&amp;sr=1-3&amp;th=1" xr:uid="{C803B92A-99CF-45E1-BE0B-88D6C8F699D6}"/>
    <hyperlink ref="G35" r:id="rId33" xr:uid="{D2DABEF8-6B3E-4519-A1D1-0748E335CC00}"/>
  </hyperlinks>
  <pageMargins left="0.7" right="0.7" top="0.75" bottom="0.75" header="0.3" footer="0.3"/>
  <pageSetup scale="83" orientation="landscape" r:id="rId34"/>
  <drawing r:id="rId3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A173B4-C084-4F7B-88E8-86448A64665D}">
  <dimension ref="A1:J21"/>
  <sheetViews>
    <sheetView topLeftCell="B10" workbookViewId="0">
      <selection activeCell="C12" sqref="C12"/>
    </sheetView>
  </sheetViews>
  <sheetFormatPr defaultRowHeight="14.4" x14ac:dyDescent="0.55000000000000004"/>
  <cols>
    <col min="1" max="1" width="15" customWidth="1"/>
    <col min="2" max="2" width="35.83984375" customWidth="1"/>
    <col min="3" max="3" width="23.68359375" customWidth="1"/>
    <col min="4" max="4" width="20.41796875" customWidth="1"/>
    <col min="6" max="6" width="19" customWidth="1"/>
    <col min="7" max="7" width="39.26171875" customWidth="1"/>
  </cols>
  <sheetData>
    <row r="1" spans="1:10" x14ac:dyDescent="0.55000000000000004">
      <c r="A1" s="27" t="s">
        <v>121</v>
      </c>
      <c r="B1" s="59" t="s">
        <v>122</v>
      </c>
      <c r="C1" s="59"/>
      <c r="D1" s="59"/>
    </row>
    <row r="2" spans="1:10" x14ac:dyDescent="0.55000000000000004">
      <c r="A2" s="28" t="s">
        <v>63</v>
      </c>
      <c r="B2" s="28" t="s">
        <v>123</v>
      </c>
      <c r="C2" s="28" t="s">
        <v>124</v>
      </c>
      <c r="D2" s="28" t="s">
        <v>125</v>
      </c>
      <c r="E2" s="28" t="s">
        <v>126</v>
      </c>
      <c r="F2" s="28" t="s">
        <v>127</v>
      </c>
      <c r="G2" s="28" t="s">
        <v>128</v>
      </c>
      <c r="H2" s="28" t="s">
        <v>62</v>
      </c>
      <c r="I2" s="28" t="s">
        <v>129</v>
      </c>
      <c r="J2" s="28" t="s">
        <v>130</v>
      </c>
    </row>
    <row r="3" spans="1:10" x14ac:dyDescent="0.55000000000000004">
      <c r="A3" s="29" t="s">
        <v>131</v>
      </c>
      <c r="B3" s="30" t="s">
        <v>132</v>
      </c>
      <c r="C3" s="29" t="s">
        <v>133</v>
      </c>
      <c r="D3" s="29" t="s">
        <v>134</v>
      </c>
      <c r="E3" s="29" t="s">
        <v>135</v>
      </c>
      <c r="F3" s="29" t="s">
        <v>136</v>
      </c>
      <c r="G3" s="29"/>
      <c r="H3" s="31">
        <v>173.21</v>
      </c>
      <c r="I3" s="29">
        <v>1</v>
      </c>
      <c r="J3" s="32">
        <f>I3*H3</f>
        <v>173.21</v>
      </c>
    </row>
    <row r="4" spans="1:10" x14ac:dyDescent="0.55000000000000004">
      <c r="A4" s="29" t="s">
        <v>137</v>
      </c>
      <c r="B4" s="33" t="s">
        <v>138</v>
      </c>
      <c r="C4" s="29" t="s">
        <v>133</v>
      </c>
      <c r="D4" s="29" t="s">
        <v>134</v>
      </c>
      <c r="E4" s="29" t="s">
        <v>135</v>
      </c>
      <c r="F4" s="29" t="s">
        <v>136</v>
      </c>
      <c r="G4" s="29"/>
      <c r="H4" s="31">
        <v>103.15</v>
      </c>
      <c r="I4" s="29">
        <v>1</v>
      </c>
      <c r="J4" s="32">
        <f t="shared" ref="J4:J16" si="0">I4*H4</f>
        <v>103.15</v>
      </c>
    </row>
    <row r="5" spans="1:10" x14ac:dyDescent="0.55000000000000004">
      <c r="A5" s="29" t="s">
        <v>139</v>
      </c>
      <c r="B5" s="33" t="s">
        <v>140</v>
      </c>
      <c r="C5" s="29" t="s">
        <v>133</v>
      </c>
      <c r="D5" s="29" t="s">
        <v>134</v>
      </c>
      <c r="E5" s="29" t="s">
        <v>135</v>
      </c>
      <c r="F5" s="29" t="s">
        <v>136</v>
      </c>
      <c r="G5" s="29"/>
      <c r="H5" s="31">
        <v>128.97</v>
      </c>
      <c r="I5" s="29">
        <v>1</v>
      </c>
      <c r="J5" s="32">
        <f t="shared" si="0"/>
        <v>128.97</v>
      </c>
    </row>
    <row r="6" spans="1:10" x14ac:dyDescent="0.55000000000000004">
      <c r="A6" s="29" t="s">
        <v>141</v>
      </c>
      <c r="B6" s="33" t="s">
        <v>142</v>
      </c>
      <c r="C6" s="29" t="s">
        <v>133</v>
      </c>
      <c r="D6" s="29" t="s">
        <v>134</v>
      </c>
      <c r="E6" s="29" t="s">
        <v>135</v>
      </c>
      <c r="F6" s="29" t="s">
        <v>136</v>
      </c>
      <c r="G6" s="29"/>
      <c r="H6" s="31">
        <v>106.47</v>
      </c>
      <c r="I6" s="29">
        <v>1</v>
      </c>
      <c r="J6" s="32">
        <f t="shared" si="0"/>
        <v>106.47</v>
      </c>
    </row>
    <row r="7" spans="1:10" x14ac:dyDescent="0.55000000000000004">
      <c r="A7" s="29" t="s">
        <v>143</v>
      </c>
      <c r="B7" s="33" t="s">
        <v>144</v>
      </c>
      <c r="C7" s="29" t="s">
        <v>133</v>
      </c>
      <c r="D7" s="29" t="s">
        <v>134</v>
      </c>
      <c r="E7" s="29" t="s">
        <v>135</v>
      </c>
      <c r="F7" s="29" t="s">
        <v>136</v>
      </c>
      <c r="G7" s="29"/>
      <c r="H7" s="31">
        <v>65.05</v>
      </c>
      <c r="I7" s="29">
        <v>1</v>
      </c>
      <c r="J7" s="32">
        <f t="shared" si="0"/>
        <v>65.05</v>
      </c>
    </row>
    <row r="8" spans="1:10" x14ac:dyDescent="0.55000000000000004">
      <c r="A8" s="29" t="s">
        <v>145</v>
      </c>
      <c r="B8" s="33" t="s">
        <v>146</v>
      </c>
      <c r="C8" s="29" t="s">
        <v>147</v>
      </c>
      <c r="D8" s="29" t="s">
        <v>148</v>
      </c>
      <c r="E8" s="29" t="s">
        <v>135</v>
      </c>
      <c r="F8" s="34" t="s">
        <v>149</v>
      </c>
      <c r="G8" s="29"/>
      <c r="H8" s="31"/>
      <c r="I8" s="29">
        <v>2</v>
      </c>
      <c r="J8" s="32">
        <f t="shared" si="0"/>
        <v>0</v>
      </c>
    </row>
    <row r="9" spans="1:10" x14ac:dyDescent="0.55000000000000004">
      <c r="A9" s="29" t="s">
        <v>150</v>
      </c>
      <c r="B9" s="33" t="s">
        <v>151</v>
      </c>
      <c r="C9" s="29" t="s">
        <v>147</v>
      </c>
      <c r="D9" s="29" t="s">
        <v>148</v>
      </c>
      <c r="E9" s="29" t="s">
        <v>135</v>
      </c>
      <c r="F9" s="34" t="s">
        <v>149</v>
      </c>
      <c r="G9" s="29"/>
      <c r="H9" s="31">
        <v>1.04</v>
      </c>
      <c r="I9" s="29">
        <v>1</v>
      </c>
      <c r="J9" s="32">
        <f t="shared" si="0"/>
        <v>1.04</v>
      </c>
    </row>
    <row r="10" spans="1:10" x14ac:dyDescent="0.55000000000000004">
      <c r="A10" s="29" t="s">
        <v>152</v>
      </c>
      <c r="B10" s="33" t="s">
        <v>153</v>
      </c>
      <c r="C10" s="29" t="s">
        <v>147</v>
      </c>
      <c r="D10" s="29" t="s">
        <v>148</v>
      </c>
      <c r="E10" s="29" t="s">
        <v>135</v>
      </c>
      <c r="F10" s="34" t="s">
        <v>149</v>
      </c>
      <c r="G10" s="29"/>
      <c r="H10" s="31">
        <v>1.04</v>
      </c>
      <c r="I10" s="29">
        <v>1</v>
      </c>
      <c r="J10" s="32">
        <f t="shared" si="0"/>
        <v>1.04</v>
      </c>
    </row>
    <row r="11" spans="1:10" x14ac:dyDescent="0.55000000000000004">
      <c r="A11" s="35" t="s">
        <v>154</v>
      </c>
      <c r="B11" s="35" t="s">
        <v>155</v>
      </c>
      <c r="C11" s="35" t="s">
        <v>156</v>
      </c>
      <c r="D11" s="35" t="s">
        <v>157</v>
      </c>
      <c r="E11" s="35" t="s">
        <v>53</v>
      </c>
      <c r="F11" s="35" t="s">
        <v>158</v>
      </c>
      <c r="G11" s="35" t="s">
        <v>159</v>
      </c>
      <c r="H11" s="36">
        <v>11.88</v>
      </c>
      <c r="I11" s="35">
        <v>2</v>
      </c>
      <c r="J11" s="37">
        <f t="shared" si="0"/>
        <v>23.76</v>
      </c>
    </row>
    <row r="12" spans="1:10" x14ac:dyDescent="0.55000000000000004">
      <c r="A12" s="35" t="s">
        <v>160</v>
      </c>
      <c r="B12" s="35" t="s">
        <v>161</v>
      </c>
      <c r="C12" s="35" t="s">
        <v>156</v>
      </c>
      <c r="D12" s="35" t="s">
        <v>157</v>
      </c>
      <c r="E12" s="35" t="s">
        <v>53</v>
      </c>
      <c r="F12" s="35" t="s">
        <v>158</v>
      </c>
      <c r="G12" s="35" t="s">
        <v>162</v>
      </c>
      <c r="H12" s="36">
        <v>12.32</v>
      </c>
      <c r="I12" s="35">
        <v>1</v>
      </c>
      <c r="J12" s="37">
        <f t="shared" si="0"/>
        <v>12.32</v>
      </c>
    </row>
    <row r="13" spans="1:10" x14ac:dyDescent="0.55000000000000004">
      <c r="A13" s="35" t="s">
        <v>163</v>
      </c>
      <c r="B13" s="35" t="s">
        <v>164</v>
      </c>
      <c r="C13" s="35" t="s">
        <v>156</v>
      </c>
      <c r="D13" s="35" t="s">
        <v>157</v>
      </c>
      <c r="E13" s="35" t="s">
        <v>53</v>
      </c>
      <c r="F13" s="35" t="s">
        <v>158</v>
      </c>
      <c r="G13" s="35" t="s">
        <v>165</v>
      </c>
      <c r="H13" s="36">
        <v>12.32</v>
      </c>
      <c r="I13" s="35">
        <v>1</v>
      </c>
      <c r="J13" s="37">
        <f>I13*H13</f>
        <v>12.32</v>
      </c>
    </row>
    <row r="14" spans="1:10" x14ac:dyDescent="0.55000000000000004">
      <c r="A14" s="35" t="s">
        <v>166</v>
      </c>
      <c r="B14" s="35" t="s">
        <v>167</v>
      </c>
      <c r="C14" s="35" t="s">
        <v>156</v>
      </c>
      <c r="D14" s="35" t="s">
        <v>157</v>
      </c>
      <c r="E14" s="35" t="s">
        <v>53</v>
      </c>
      <c r="F14" s="35" t="s">
        <v>158</v>
      </c>
      <c r="G14" s="35" t="s">
        <v>168</v>
      </c>
      <c r="H14" s="36">
        <v>10.6</v>
      </c>
      <c r="I14" s="35">
        <v>2</v>
      </c>
      <c r="J14" s="37">
        <f t="shared" si="0"/>
        <v>21.2</v>
      </c>
    </row>
    <row r="15" spans="1:10" x14ac:dyDescent="0.55000000000000004">
      <c r="A15" s="20" t="s">
        <v>169</v>
      </c>
      <c r="B15" s="20" t="s">
        <v>170</v>
      </c>
      <c r="C15" s="20" t="s">
        <v>133</v>
      </c>
      <c r="D15" s="20" t="s">
        <v>134</v>
      </c>
      <c r="E15" s="20" t="s">
        <v>135</v>
      </c>
      <c r="F15" s="20" t="s">
        <v>136</v>
      </c>
      <c r="G15" s="20"/>
      <c r="H15" s="38">
        <v>18.829999999999998</v>
      </c>
      <c r="I15" s="20">
        <v>1</v>
      </c>
      <c r="J15" s="39">
        <f t="shared" si="0"/>
        <v>18.829999999999998</v>
      </c>
    </row>
    <row r="16" spans="1:10" x14ac:dyDescent="0.55000000000000004">
      <c r="A16" s="20" t="s">
        <v>171</v>
      </c>
      <c r="B16" s="20" t="s">
        <v>172</v>
      </c>
      <c r="C16" s="20" t="s">
        <v>173</v>
      </c>
      <c r="D16" s="20" t="s">
        <v>134</v>
      </c>
      <c r="E16" s="20" t="s">
        <v>135</v>
      </c>
      <c r="F16" s="20" t="s">
        <v>136</v>
      </c>
      <c r="G16" s="20"/>
      <c r="H16" s="40">
        <v>49.38</v>
      </c>
      <c r="I16" s="20">
        <v>1</v>
      </c>
      <c r="J16" s="39">
        <f t="shared" si="0"/>
        <v>49.38</v>
      </c>
    </row>
    <row r="17" spans="1:10" x14ac:dyDescent="0.55000000000000004">
      <c r="A17" s="47" t="s">
        <v>174</v>
      </c>
      <c r="B17" s="47" t="s">
        <v>175</v>
      </c>
      <c r="C17" s="47" t="s">
        <v>133</v>
      </c>
      <c r="D17" s="50" t="s">
        <v>134</v>
      </c>
      <c r="E17" s="47" t="s">
        <v>135</v>
      </c>
      <c r="F17" s="47" t="s">
        <v>136</v>
      </c>
      <c r="G17" s="47"/>
      <c r="H17" s="48">
        <v>118.54</v>
      </c>
      <c r="I17" s="47">
        <v>1</v>
      </c>
      <c r="J17" s="49">
        <f>H17*I17</f>
        <v>118.54</v>
      </c>
    </row>
    <row r="18" spans="1:10" x14ac:dyDescent="0.55000000000000004">
      <c r="A18" s="51" t="s">
        <v>176</v>
      </c>
      <c r="B18" s="51" t="s">
        <v>177</v>
      </c>
      <c r="C18" s="51" t="s">
        <v>133</v>
      </c>
      <c r="D18" s="52" t="s">
        <v>134</v>
      </c>
      <c r="E18" s="51" t="s">
        <v>135</v>
      </c>
      <c r="F18" s="51" t="s">
        <v>136</v>
      </c>
      <c r="G18" s="51"/>
      <c r="H18" s="53">
        <v>13.75</v>
      </c>
      <c r="I18" s="51">
        <v>2</v>
      </c>
      <c r="J18" s="54">
        <f t="shared" ref="J18:J20" si="1">H18*I18</f>
        <v>27.5</v>
      </c>
    </row>
    <row r="19" spans="1:10" x14ac:dyDescent="0.55000000000000004">
      <c r="A19" s="52" t="s">
        <v>178</v>
      </c>
      <c r="B19" s="52" t="s">
        <v>179</v>
      </c>
      <c r="C19" s="55" t="s">
        <v>180</v>
      </c>
      <c r="D19" s="56" t="s">
        <v>181</v>
      </c>
      <c r="E19" s="57" t="s">
        <v>135</v>
      </c>
      <c r="F19" s="51" t="s">
        <v>136</v>
      </c>
      <c r="G19" s="52"/>
      <c r="H19" s="58">
        <v>3.12</v>
      </c>
      <c r="I19" s="52">
        <v>1</v>
      </c>
      <c r="J19" s="54">
        <f t="shared" si="1"/>
        <v>3.12</v>
      </c>
    </row>
    <row r="20" spans="1:10" x14ac:dyDescent="0.55000000000000004">
      <c r="A20" s="52" t="s">
        <v>182</v>
      </c>
      <c r="B20" s="52" t="s">
        <v>183</v>
      </c>
      <c r="C20" s="55" t="s">
        <v>180</v>
      </c>
      <c r="D20" s="56" t="s">
        <v>181</v>
      </c>
      <c r="E20" s="57" t="s">
        <v>135</v>
      </c>
      <c r="F20" s="51" t="s">
        <v>136</v>
      </c>
      <c r="G20" s="52"/>
      <c r="H20" s="58">
        <v>3.12</v>
      </c>
      <c r="I20" s="56">
        <v>1</v>
      </c>
      <c r="J20" s="54">
        <f t="shared" si="1"/>
        <v>3.12</v>
      </c>
    </row>
    <row r="21" spans="1:10" x14ac:dyDescent="0.55000000000000004">
      <c r="I21" t="s">
        <v>184</v>
      </c>
      <c r="J21" s="17">
        <f>SUM(J3:J20)</f>
        <v>869.0200000000001</v>
      </c>
    </row>
  </sheetData>
  <mergeCells count="1">
    <mergeCell ref="B1:D1"/>
  </mergeCells>
  <hyperlinks>
    <hyperlink ref="B1" r:id="rId1" xr:uid="{D490D3BF-9413-41AE-8654-87DC24F12287}"/>
  </hyperlinks>
  <pageMargins left="0.7" right="0.7" top="0.75" bottom="0.75" header="0.3" footer="0.3"/>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7E17CB607753E84F8A4A43BB9E689AF6" ma:contentTypeVersion="12" ma:contentTypeDescription="Create a new document." ma:contentTypeScope="" ma:versionID="e4bbe2423649293fec97eb9c6a05a043">
  <xsd:schema xmlns:xsd="http://www.w3.org/2001/XMLSchema" xmlns:xs="http://www.w3.org/2001/XMLSchema" xmlns:p="http://schemas.microsoft.com/office/2006/metadata/properties" xmlns:ns2="a7f04e59-7af9-4908-b5ac-3514810ac758" targetNamespace="http://schemas.microsoft.com/office/2006/metadata/properties" ma:root="true" ma:fieldsID="ab44785e047e43b9eefb5bc07b599880" ns2:_="">
    <xsd:import namespace="a7f04e59-7af9-4908-b5ac-3514810ac758"/>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2:MediaServiceOCR" minOccurs="0"/>
                <xsd:element ref="ns2:MediaServiceGenerationTime" minOccurs="0"/>
                <xsd:element ref="ns2:MediaServiceEventHashCode" minOccurs="0"/>
                <xsd:element ref="ns2:MediaLengthInSeconds" minOccurs="0"/>
                <xsd:element ref="ns2:MediaServiceBillingMetadata"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7f04e59-7af9-4908-b5ac-3514810ac75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886477d7-ad29-47e7-b319-eaa6f1949674" ma:termSetId="09814cd3-568e-fe90-9814-8d621ff8fb84" ma:anchorId="fba54fb3-c3e1-fe81-a776-ca4b69148c4d" ma:open="true" ma:isKeyword="false">
      <xsd:complexType>
        <xsd:sequence>
          <xsd:element ref="pc:Terms" minOccurs="0" maxOccurs="1"/>
        </xsd:sequence>
      </xsd:complex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MediaServiceBillingMetadata" ma:index="18" nillable="true" ma:displayName="MediaServiceBillingMetadata" ma:hidden="true" ma:internalName="MediaServiceBillingMetadata" ma:readOnly="true">
      <xsd:simpleType>
        <xsd:restriction base="dms:Note"/>
      </xsd:simpleType>
    </xsd:element>
    <xsd:element name="MediaServiceLocation" ma:index="19" nillable="true" ma:displayName="Location" ma:indexed="true"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a7f04e59-7af9-4908-b5ac-3514810ac758">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BEDD53FD-A0CC-4BE1-A594-B1DB810ECEC4}">
  <ds:schemaRefs>
    <ds:schemaRef ds:uri="http://schemas.microsoft.com/sharepoint/v3/contenttype/forms"/>
  </ds:schemaRefs>
</ds:datastoreItem>
</file>

<file path=customXml/itemProps2.xml><?xml version="1.0" encoding="utf-8"?>
<ds:datastoreItem xmlns:ds="http://schemas.openxmlformats.org/officeDocument/2006/customXml" ds:itemID="{126C41C5-054C-4C60-B398-0581BFA21F8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7f04e59-7af9-4908-b5ac-3514810ac75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6197AF17-19BA-4A86-BD2B-137F692C320B}">
  <ds:schemaRefs>
    <ds:schemaRef ds:uri="http://schemas.microsoft.com/office/2006/metadata/properties"/>
    <ds:schemaRef ds:uri="http://schemas.microsoft.com/office/infopath/2007/PartnerControls"/>
    <ds:schemaRef ds:uri="a7f04e59-7af9-4908-b5ac-3514810ac758"/>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Kit Cost</vt:lpstr>
      <vt:lpstr>3D Part Printing Settings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Sarah Bradshaw</dc:creator>
  <cp:keywords/>
  <dc:description/>
  <cp:lastModifiedBy>Sarah Bradshaw</cp:lastModifiedBy>
  <cp:revision/>
  <dcterms:created xsi:type="dcterms:W3CDTF">2025-11-03T20:57:27Z</dcterms:created>
  <dcterms:modified xsi:type="dcterms:W3CDTF">2026-06-25T04:09:00Z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0x0101007E17CB607753E84F8A4A43BB9E689AF6</vt:lpwstr>
  </property>
  <property fmtid="{D5CDD505-2E9C-101B-9397-08002B2CF9AE}" pid="3" name="MediaServiceImageTags">
    <vt:lpwstr/>
  </property>
</Properties>
</file>